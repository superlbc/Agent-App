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interpublic.sharepoint.com/sites/MomoTechnology/Shared Documents/Operational Technology/Unified Data - UXP/Architecture/"/>
    </mc:Choice>
  </mc:AlternateContent>
  <xr:revisionPtr revIDLastSave="217" documentId="8_{74F2F6D2-387A-44E5-A17B-EE4E6C880368}" xr6:coauthVersionLast="47" xr6:coauthVersionMax="47" xr10:uidLastSave="{11A5FC2A-432F-4E06-A202-D018E028FD9C}"/>
  <bookViews>
    <workbookView xWindow="-120" yWindow="-120" windowWidth="29040" windowHeight="15720" xr2:uid="{00000000-000D-0000-FFFF-FFFF00000000}"/>
  </bookViews>
  <sheets>
    <sheet name="tblCampaings" sheetId="1" r:id="rId1"/>
    <sheet name="tblEvents" sheetId="4" r:id="rId2"/>
    <sheet name="tblActivations" sheetId="10" r:id="rId3"/>
    <sheet name="AssignedUsers" sheetId="9" r:id="rId4"/>
    <sheet name="tblLocation" sheetId="6" r:id="rId5"/>
    <sheet name="tblSurveys" sheetId="7" r:id="rId6"/>
    <sheet name="tblBarCodes" sheetId="5" r:id="rId7"/>
    <sheet name="tblFieldOptions" sheetId="2" r:id="rId8"/>
    <sheet name="tblApi" sheetId="3" r:id="rId9"/>
    <sheet name="MomentumOffices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AH2" i="10"/>
  <c r="AH3" i="10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I2" i="10"/>
  <c r="AI3" i="10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" i="10"/>
  <c r="X3" i="1"/>
  <c r="X4" i="1"/>
  <c r="X5" i="1"/>
  <c r="X6" i="1"/>
  <c r="X7" i="1"/>
  <c r="X2" i="1"/>
  <c r="AJ3" i="4"/>
  <c r="AK3" i="4"/>
  <c r="AJ4" i="4"/>
  <c r="AK4" i="4"/>
  <c r="AJ5" i="4"/>
  <c r="AK5" i="4"/>
  <c r="AJ6" i="4"/>
  <c r="AK6" i="4"/>
  <c r="AJ7" i="4"/>
  <c r="AK7" i="4"/>
  <c r="AJ8" i="4"/>
  <c r="AK8" i="4"/>
  <c r="AJ9" i="4"/>
  <c r="AK9" i="4"/>
  <c r="AJ10" i="4"/>
  <c r="AK10" i="4"/>
  <c r="AJ11" i="4"/>
  <c r="AK11" i="4"/>
  <c r="AJ12" i="4"/>
  <c r="AK12" i="4"/>
  <c r="AJ13" i="4"/>
  <c r="AK13" i="4"/>
  <c r="AJ14" i="4"/>
  <c r="AK14" i="4"/>
  <c r="AJ15" i="4"/>
  <c r="AK15" i="4"/>
  <c r="AJ16" i="4"/>
  <c r="AK16" i="4"/>
  <c r="AJ17" i="4"/>
  <c r="AK17" i="4"/>
  <c r="AJ18" i="4"/>
  <c r="AK18" i="4"/>
  <c r="AK2" i="4"/>
  <c r="AJ2" i="4"/>
  <c r="H3" i="3"/>
  <c r="H4" i="3"/>
  <c r="H5" i="3"/>
  <c r="H2" i="3"/>
</calcChain>
</file>

<file path=xl/sharedStrings.xml><?xml version="1.0" encoding="utf-8"?>
<sst xmlns="http://schemas.openxmlformats.org/spreadsheetml/2006/main" count="1280" uniqueCount="489">
  <si>
    <t>Id</t>
  </si>
  <si>
    <t>CampaignDescription</t>
  </si>
  <si>
    <t>CampaignName</t>
  </si>
  <si>
    <t>CampaignNotes</t>
  </si>
  <si>
    <t>Status</t>
  </si>
  <si>
    <t>Client</t>
  </si>
  <si>
    <t>EventType</t>
  </si>
  <si>
    <t>importSequenceNumber</t>
  </si>
  <si>
    <t>MasterProgram</t>
  </si>
  <si>
    <t>CampaignOwner</t>
  </si>
  <si>
    <t>CampaignOwnerEmail</t>
  </si>
  <si>
    <t>Region</t>
  </si>
  <si>
    <t>CreatedByName</t>
  </si>
  <si>
    <t>CreatedBy</t>
  </si>
  <si>
    <t>CreatedOn</t>
  </si>
  <si>
    <t>UpdatedByName</t>
  </si>
  <si>
    <t>JobNumbers</t>
  </si>
  <si>
    <t>Visible</t>
  </si>
  <si>
    <t>Year</t>
  </si>
  <si>
    <t>Month</t>
  </si>
  <si>
    <t>YearMonth</t>
  </si>
  <si>
    <t>MONY2308241448VER</t>
  </si>
  <si>
    <t>Lorem ipsum dolor sit amet consectetur adipisicing elit. Maxime mollitia,molestiae quas vel sint commodi repudiandae consequuntur voluptatum laborumnumquam blanditiis harum quisquam eius sed odit fugiat iusto fuga praesentiumoptio, eaque rerum!</t>
  </si>
  <si>
    <t>Home Shows</t>
  </si>
  <si>
    <t>Completed</t>
  </si>
  <si>
    <t>Verizon</t>
  </si>
  <si>
    <t>Game</t>
  </si>
  <si>
    <t>Highper Local</t>
  </si>
  <si>
    <t>Luis Bustos</t>
  </si>
  <si>
    <t>Luis.Bustos@momentumww.com</t>
  </si>
  <si>
    <t>Southwest</t>
  </si>
  <si>
    <t>Party Events</t>
  </si>
  <si>
    <t>Active</t>
  </si>
  <si>
    <t>Jason Snyder</t>
  </si>
  <si>
    <t>Jason.Snyder@momentumww.com</t>
  </si>
  <si>
    <t>West</t>
  </si>
  <si>
    <t>Sports</t>
  </si>
  <si>
    <t>Steve Sanderson</t>
  </si>
  <si>
    <t>Steve.Sanderson@momentumww.com</t>
  </si>
  <si>
    <t>Nord</t>
  </si>
  <si>
    <t>Wedding Events</t>
  </si>
  <si>
    <t>Cancelled</t>
  </si>
  <si>
    <t>kristen Baum</t>
  </si>
  <si>
    <t>kristen.baum@momentumww.com</t>
  </si>
  <si>
    <t>Technology Events</t>
  </si>
  <si>
    <t>Inactive</t>
  </si>
  <si>
    <t>Kristen Baum</t>
  </si>
  <si>
    <t>Kristen.Baum@momentumww.com</t>
  </si>
  <si>
    <t>MONY2308291448VER</t>
  </si>
  <si>
    <t>5G Truck Phase 2</t>
  </si>
  <si>
    <t>Tentative</t>
  </si>
  <si>
    <t>MONY2308241537VER</t>
  </si>
  <si>
    <t>5G Truck Phase 1</t>
  </si>
  <si>
    <t>CampaignId</t>
  </si>
  <si>
    <t>Country</t>
  </si>
  <si>
    <t>City</t>
  </si>
  <si>
    <t>Postcode</t>
  </si>
  <si>
    <t>Number</t>
  </si>
  <si>
    <t>Address1</t>
  </si>
  <si>
    <t>Address2</t>
  </si>
  <si>
    <t>Latitude</t>
  </si>
  <si>
    <t>Longitude</t>
  </si>
  <si>
    <t>MomentumOffice</t>
  </si>
  <si>
    <t>DistanceFromOfficeMi</t>
  </si>
  <si>
    <t>DistanceFromOfficeKm</t>
  </si>
  <si>
    <t>TimeFromOffice(mins)</t>
  </si>
  <si>
    <t>createdByName</t>
  </si>
  <si>
    <t>createdOn</t>
  </si>
  <si>
    <t>updatedBy</t>
  </si>
  <si>
    <t>updatedOn</t>
  </si>
  <si>
    <t>eventStartDate</t>
  </si>
  <si>
    <t>eventEndDate</t>
  </si>
  <si>
    <t>MONY2308291448VER002</t>
  </si>
  <si>
    <t>United States</t>
  </si>
  <si>
    <t>Atlantic Station</t>
  </si>
  <si>
    <t>Atlanta</t>
  </si>
  <si>
    <t>Atlantic Dr NW</t>
  </si>
  <si>
    <t>Suite 14250</t>
  </si>
  <si>
    <t>Atlanta Office</t>
  </si>
  <si>
    <t>5G Truck Phase 1 - Atlantic 1</t>
  </si>
  <si>
    <t>TENTATIVE</t>
  </si>
  <si>
    <t>MONY2308291448VER001</t>
  </si>
  <si>
    <t>Dallas Farmers Market</t>
  </si>
  <si>
    <t>Dallas</t>
  </si>
  <si>
    <t>S Harwood St</t>
  </si>
  <si>
    <t>Dallas Regional Office</t>
  </si>
  <si>
    <t>5G Truck Phase 2 - Dallas 1</t>
  </si>
  <si>
    <t>ACTIVE</t>
  </si>
  <si>
    <t>MONY2308241537VER003</t>
  </si>
  <si>
    <t>The Venetian Resort</t>
  </si>
  <si>
    <t>Las Vegas</t>
  </si>
  <si>
    <t>S Las Vegas Blvd</t>
  </si>
  <si>
    <t>Las Vegas Regional Office</t>
  </si>
  <si>
    <t>Home Shows - Atlantic 2</t>
  </si>
  <si>
    <t>MONY2308241537VER002</t>
  </si>
  <si>
    <t>Santa Monica Pier</t>
  </si>
  <si>
    <t>Santa Monica</t>
  </si>
  <si>
    <t>Los Angeles Office</t>
  </si>
  <si>
    <t>Home Shows - Atlantic 1</t>
  </si>
  <si>
    <t>INACTIVE</t>
  </si>
  <si>
    <t>MONY2308241537VER001</t>
  </si>
  <si>
    <t>Navy Pier</t>
  </si>
  <si>
    <t>Chicago</t>
  </si>
  <si>
    <t>E Grand Ave</t>
  </si>
  <si>
    <t>Chicago Office</t>
  </si>
  <si>
    <t>Home Shows - Dallas 1</t>
  </si>
  <si>
    <t>MONY2308241448VER011</t>
  </si>
  <si>
    <t>5G Truck Phase 1 - Atlantic 6</t>
  </si>
  <si>
    <t>CANCELLED</t>
  </si>
  <si>
    <t>MONY2308241448VER009</t>
  </si>
  <si>
    <t>Union Square</t>
  </si>
  <si>
    <t>New York</t>
  </si>
  <si>
    <t>Union Square W</t>
  </si>
  <si>
    <t>New York Office</t>
  </si>
  <si>
    <t>5G Truck Phase 1 - Atlantic 5</t>
  </si>
  <si>
    <t>MONY2308241448VER007</t>
  </si>
  <si>
    <t>Seattle Center</t>
  </si>
  <si>
    <t>Seattle</t>
  </si>
  <si>
    <t>Harrison St</t>
  </si>
  <si>
    <t>Seattle Office</t>
  </si>
  <si>
    <t>5G Truck Phase 1 - Atlantic 4</t>
  </si>
  <si>
    <t>MONY2308241448VER006</t>
  </si>
  <si>
    <t>Discovery Green</t>
  </si>
  <si>
    <t>Houston</t>
  </si>
  <si>
    <t>McKinney St</t>
  </si>
  <si>
    <t>Houston Regional Office</t>
  </si>
  <si>
    <t>5G Truck Phase 1 - Atlantic 3</t>
  </si>
  <si>
    <t>MONY2308241448VER004</t>
  </si>
  <si>
    <t>Klyde Warren Park</t>
  </si>
  <si>
    <t>Woodall Rodgers Fwy</t>
  </si>
  <si>
    <t>5G Truck Phase 1 - Atlantic 2</t>
  </si>
  <si>
    <t>COMPLETED</t>
  </si>
  <si>
    <t>MONY2308241448VER002</t>
  </si>
  <si>
    <t>MONY2308241448VER012</t>
  </si>
  <si>
    <t>Griffith Park</t>
  </si>
  <si>
    <t>Los Angeles</t>
  </si>
  <si>
    <t>Crystal Springs Dr</t>
  </si>
  <si>
    <t>5G Truck Phase 1 - Dallas 6</t>
  </si>
  <si>
    <t>MONY2308241448VER010</t>
  </si>
  <si>
    <t>Balboa Park</t>
  </si>
  <si>
    <t>San Diego</t>
  </si>
  <si>
    <t>El Prado</t>
  </si>
  <si>
    <t>5G Truck Phase 1 - Dallas 5</t>
  </si>
  <si>
    <t>MONY2308241448VER008</t>
  </si>
  <si>
    <t>Central Park</t>
  </si>
  <si>
    <t>14 E</t>
  </si>
  <si>
    <t>60th St</t>
  </si>
  <si>
    <t>5G Truck Phase 1 - Dallas 4</t>
  </si>
  <si>
    <t>MONY2308241448VER005</t>
  </si>
  <si>
    <t>Golden Gate Park</t>
  </si>
  <si>
    <t>San Francisco</t>
  </si>
  <si>
    <t>Stanyan St</t>
  </si>
  <si>
    <t>San Francisco Regional Office</t>
  </si>
  <si>
    <t>5G Truck Phase 1 - Dallas 3</t>
  </si>
  <si>
    <t>MONY2308241448VER003</t>
  </si>
  <si>
    <t>Piedmont Park</t>
  </si>
  <si>
    <t>Monroe Dr NE</t>
  </si>
  <si>
    <t>5G Truck Phase 1 - Dallas 2</t>
  </si>
  <si>
    <t>MONY2308241448VER001</t>
  </si>
  <si>
    <t>The Domain</t>
  </si>
  <si>
    <t>Austin</t>
  </si>
  <si>
    <t>Century Oaks Terrace</t>
  </si>
  <si>
    <t>Austin Regional Office</t>
  </si>
  <si>
    <t>5G Truck Phase 1 - Dallas 1</t>
  </si>
  <si>
    <t>The Wharf</t>
  </si>
  <si>
    <t>Washington</t>
  </si>
  <si>
    <t>Maine Ave SW</t>
  </si>
  <si>
    <t>Washington, D.C. Regional Office</t>
  </si>
  <si>
    <t>UserName</t>
  </si>
  <si>
    <t>UserEmail</t>
  </si>
  <si>
    <t>UserDepartment</t>
  </si>
  <si>
    <t>UserRole</t>
  </si>
  <si>
    <t>OnSite</t>
  </si>
  <si>
    <t>ManagerName</t>
  </si>
  <si>
    <t>ManagerEmail</t>
  </si>
  <si>
    <t>ManagerRole</t>
  </si>
  <si>
    <t>AssignedByName</t>
  </si>
  <si>
    <t>AssignedByEmail</t>
  </si>
  <si>
    <t>AssinedOn</t>
  </si>
  <si>
    <t>Terry O'Reilly</t>
  </si>
  <si>
    <t>Tyerry.Oreilly@momentumw.com</t>
  </si>
  <si>
    <t>Studio</t>
  </si>
  <si>
    <t>Studio Direcctor</t>
  </si>
  <si>
    <t>No</t>
  </si>
  <si>
    <t>Steve.Ssanderson@momentumww/com</t>
  </si>
  <si>
    <t>SVP Operations Techoology Director</t>
  </si>
  <si>
    <t>eventId</t>
  </si>
  <si>
    <t>Platform</t>
  </si>
  <si>
    <t>poiScope</t>
  </si>
  <si>
    <t>VenueName</t>
  </si>
  <si>
    <t>Entity Type</t>
  </si>
  <si>
    <t>Category</t>
  </si>
  <si>
    <t>Group</t>
  </si>
  <si>
    <t>SubCategory</t>
  </si>
  <si>
    <t>State</t>
  </si>
  <si>
    <t>State Code</t>
  </si>
  <si>
    <t>country</t>
  </si>
  <si>
    <t>countryCode</t>
  </si>
  <si>
    <t>postCode</t>
  </si>
  <si>
    <t>Address</t>
  </si>
  <si>
    <t>Formatted Address</t>
  </si>
  <si>
    <t>geoJson</t>
  </si>
  <si>
    <t>SentOn</t>
  </si>
  <si>
    <t>CheckedOn</t>
  </si>
  <si>
    <t>Count</t>
  </si>
  <si>
    <t>Tags</t>
  </si>
  <si>
    <t>url</t>
  </si>
  <si>
    <t>Status (for obtaining data)</t>
  </si>
  <si>
    <t>5d03b5847afe4d3b4978556c</t>
  </si>
  <si>
    <t>Placer</t>
  </si>
  <si>
    <t>Standard</t>
  </si>
  <si>
    <t>Complex</t>
  </si>
  <si>
    <t>Lifestyle Centers</t>
  </si>
  <si>
    <t>Shopping Centers</t>
  </si>
  <si>
    <t>Georgia</t>
  </si>
  <si>
    <t>GA</t>
  </si>
  <si>
    <t>US</t>
  </si>
  <si>
    <t>Atlantic Dr</t>
  </si>
  <si>
    <t>1380 Atlantic Dr, Atlanta, GA, United States</t>
  </si>
  <si>
    <t>https://analytics.placer.ai/#!/admin/insights/complexes/5d03b5847afe4d3b4978556c/overview</t>
  </si>
  <si>
    <t>5f48a7657a6c0c24ba6ce3d8</t>
  </si>
  <si>
    <t>Groceries</t>
  </si>
  <si>
    <t>Farmers Market</t>
  </si>
  <si>
    <t>Texas</t>
  </si>
  <si>
    <t>TX</t>
  </si>
  <si>
    <t>S Pearl Expy</t>
  </si>
  <si>
    <t>1010 S Pearl Expy, Dallas, TX, United States</t>
  </si>
  <si>
    <t>5948c00a173f56402f9dab5e</t>
  </si>
  <si>
    <t>Hotels &amp; Casinos</t>
  </si>
  <si>
    <t>Resort</t>
  </si>
  <si>
    <t>Nevada</t>
  </si>
  <si>
    <t>NV</t>
  </si>
  <si>
    <t>3355 S Las Vegas Blvd, Las Vegas, NV, United States</t>
  </si>
  <si>
    <t>https://analytics.placer.ai/#!/admin/insights/complexes/5948c00a173f56402f9dab5e/overview</t>
  </si>
  <si>
    <t>5e2820667afe4d772a44357d</t>
  </si>
  <si>
    <t>Maritime Transportation</t>
  </si>
  <si>
    <t>Travel</t>
  </si>
  <si>
    <t>Pier</t>
  </si>
  <si>
    <t>California</t>
  </si>
  <si>
    <t>CA</t>
  </si>
  <si>
    <t>200 Santa Monica Pier, Santa Monica, CA, United States</t>
  </si>
  <si>
    <t>https://analytics.placer.ai/#!/admin/insights/complexes/5e2820667afe4d772a44357d/overview</t>
  </si>
  <si>
    <t>616425c519968e0029475940</t>
  </si>
  <si>
    <t>Illinois</t>
  </si>
  <si>
    <t>IL</t>
  </si>
  <si>
    <t>600 E Grand Ave, Chicago, IL, United States</t>
  </si>
  <si>
    <t>Custom</t>
  </si>
  <si>
    <t>field</t>
  </si>
  <si>
    <t>id</t>
  </si>
  <si>
    <t>value</t>
  </si>
  <si>
    <t>previousValue</t>
  </si>
  <si>
    <t>statusAPI</t>
  </si>
  <si>
    <t>IDCONF001</t>
  </si>
  <si>
    <t>Active;Inactive;Tentative;Completed;Canceled</t>
  </si>
  <si>
    <t>eventType</t>
  </si>
  <si>
    <t>IDCONF002</t>
  </si>
  <si>
    <t>Type1;Type2;Type3</t>
  </si>
  <si>
    <t>statusCampaign</t>
  </si>
  <si>
    <t>IDCONF003</t>
  </si>
  <si>
    <t>statusEvent</t>
  </si>
  <si>
    <t>IDCONF004</t>
  </si>
  <si>
    <t>platform</t>
  </si>
  <si>
    <t>apiKey</t>
  </si>
  <si>
    <t>createdBy</t>
  </si>
  <si>
    <t>modifiedOn</t>
  </si>
  <si>
    <t>modifiedBy</t>
  </si>
  <si>
    <t>expiryDate</t>
  </si>
  <si>
    <t>APICONF001</t>
  </si>
  <si>
    <t>{…}</t>
  </si>
  <si>
    <t>luis.bustos@momentumww.com</t>
  </si>
  <si>
    <t>APICONF002</t>
  </si>
  <si>
    <t>QRTiger</t>
  </si>
  <si>
    <t>APICONF003</t>
  </si>
  <si>
    <t>Kantata</t>
  </si>
  <si>
    <t>APICONF004</t>
  </si>
  <si>
    <t>Somethingelse</t>
  </si>
  <si>
    <t>Office</t>
  </si>
  <si>
    <t>CountryCode</t>
  </si>
  <si>
    <t>Municipality</t>
  </si>
  <si>
    <t>MunicipalitySubdivision</t>
  </si>
  <si>
    <t>PostalCode</t>
  </si>
  <si>
    <t>StreetName</t>
  </si>
  <si>
    <t>StreetNumber</t>
  </si>
  <si>
    <t>FullAddress</t>
  </si>
  <si>
    <t>North America</t>
  </si>
  <si>
    <t>Battery Park City</t>
  </si>
  <si>
    <t>Vesey Street</t>
  </si>
  <si>
    <t>300 Vesey Street, 15th Floor, New York, NY 10282, United States</t>
  </si>
  <si>
    <t>West Midtown</t>
  </si>
  <si>
    <t>Brady Avenue</t>
  </si>
  <si>
    <t>944 Brady Avenue, Atlanta, GA 30318, United States</t>
  </si>
  <si>
    <t>Near North Side</t>
  </si>
  <si>
    <t>North Michigan Avenue</t>
  </si>
  <si>
    <t>444 North Michigan Avenue, Suite 2700, Chicago, IL 60611, United States</t>
  </si>
  <si>
    <t>St. Louis</t>
  </si>
  <si>
    <t>Downtown West</t>
  </si>
  <si>
    <t>Chestnut Street</t>
  </si>
  <si>
    <t>1831 Chestnut Street, 7th Floor, St. Louis, MO 63103, United States</t>
  </si>
  <si>
    <t>Denny Triangle</t>
  </si>
  <si>
    <t>Stewart St</t>
  </si>
  <si>
    <t>818 Stewart St. Suite 1300, Seattle, WA 98101, United States</t>
  </si>
  <si>
    <t>Toronto</t>
  </si>
  <si>
    <t>Canada</t>
  </si>
  <si>
    <t>Old Toronto</t>
  </si>
  <si>
    <t>M5V 0N6</t>
  </si>
  <si>
    <t>Wellington Street, West</t>
  </si>
  <si>
    <t>200 Wellington Street, West, Toronto, Ontario M5V 0N6, Canada</t>
  </si>
  <si>
    <t>BogotÃ¡</t>
  </si>
  <si>
    <t>South America</t>
  </si>
  <si>
    <t>Colombia</t>
  </si>
  <si>
    <t>CO</t>
  </si>
  <si>
    <t>Cundinamarca</t>
  </si>
  <si>
    <t>N/A</t>
  </si>
  <si>
    <t>Calle 96</t>
  </si>
  <si>
    <t>13A-21</t>
  </si>
  <si>
    <t>Calle 96 13A-21, Cundinamarca, BogotÃ¡, Colombia</t>
  </si>
  <si>
    <t>Lima</t>
  </si>
  <si>
    <t>Peru</t>
  </si>
  <si>
    <t>PE</t>
  </si>
  <si>
    <t>Miraflores</t>
  </si>
  <si>
    <t>Calle MÃ¡rtir JosÃ© Olaya</t>
  </si>
  <si>
    <t>Calle MÃ¡rtir JosÃ© Olaya 169 â€“ Piso 13, Miraflores Lima 18, Peru</t>
  </si>
  <si>
    <t>Santiago</t>
  </si>
  <si>
    <t>Chile</t>
  </si>
  <si>
    <t>CL</t>
  </si>
  <si>
    <t>Providencia</t>
  </si>
  <si>
    <t>Bucarest</t>
  </si>
  <si>
    <t>Bucarest 150, Office 501, Providencia, Santiago, Chile</t>
  </si>
  <si>
    <t>SÃ£o Paulo</t>
  </si>
  <si>
    <t>Brazil</t>
  </si>
  <si>
    <t>BR</t>
  </si>
  <si>
    <t>Jardim Europa</t>
  </si>
  <si>
    <t>01455-000</t>
  </si>
  <si>
    <t>Rua Hungria</t>
  </si>
  <si>
    <t>Rua Hungria, 1240, Jardim Europa, Sao Paulo-SP CEP:01455-000, Brazil</t>
  </si>
  <si>
    <t>Athens</t>
  </si>
  <si>
    <t>EMEA</t>
  </si>
  <si>
    <t>Greece</t>
  </si>
  <si>
    <t>GR</t>
  </si>
  <si>
    <t>Chalandri</t>
  </si>
  <si>
    <t>Hydras &amp; Kifissias Avenue</t>
  </si>
  <si>
    <t>2 &amp; 280</t>
  </si>
  <si>
    <t>2 Hydras &amp; 280 Kifissias Avenue, Chalandri, Athens 15232, Greece</t>
  </si>
  <si>
    <t>Bucharest</t>
  </si>
  <si>
    <t>Romania</t>
  </si>
  <si>
    <t>RO</t>
  </si>
  <si>
    <t>Sector 1</t>
  </si>
  <si>
    <t>010463</t>
  </si>
  <si>
    <t>Jules Michelet St.</t>
  </si>
  <si>
    <t>18, Jules Michelet St., Bucharest, 010463, Romania</t>
  </si>
  <si>
    <t>Cairo</t>
  </si>
  <si>
    <t>Egypt</t>
  </si>
  <si>
    <t>EG</t>
  </si>
  <si>
    <t>Mohandessin</t>
  </si>
  <si>
    <t>Al Esraa Street</t>
  </si>
  <si>
    <t>10 Al Esraa Street, Off Lebanon St, Mohandessin, Cairo, Egypt</t>
  </si>
  <si>
    <t>Dubai</t>
  </si>
  <si>
    <t>United Arab Emirates</t>
  </si>
  <si>
    <t>AE</t>
  </si>
  <si>
    <t>Barsha Heights</t>
  </si>
  <si>
    <t>MCN Hive Bldg.</t>
  </si>
  <si>
    <t>Barsha heights, MCN Hive Bldg., Floor 6, PO Box 6834, Dubai, United Arab Emirates</t>
  </si>
  <si>
    <t>Frankfurt</t>
  </si>
  <si>
    <t>Germany</t>
  </si>
  <si>
    <t>DE</t>
  </si>
  <si>
    <t>Sachsenhausen</t>
  </si>
  <si>
    <t>GroÃŸer Hasenpfad</t>
  </si>
  <si>
    <t>GroÃŸer Hasenpfad 44, Frankfurt, 60598, Germany</t>
  </si>
  <si>
    <t>Gothenburg</t>
  </si>
  <si>
    <t>Sweden</t>
  </si>
  <si>
    <t>SE</t>
  </si>
  <si>
    <t>Kungstorget</t>
  </si>
  <si>
    <t>401 20</t>
  </si>
  <si>
    <t>Box 34, SE-401 20, BesÃ¶ksadress: Kungstorget 7, GÃ¶teborg, Sweden</t>
  </si>
  <si>
    <t>London</t>
  </si>
  <si>
    <t>United Kingdom</t>
  </si>
  <si>
    <t>GB</t>
  </si>
  <si>
    <t>Bishopsgate</t>
  </si>
  <si>
    <t>EC2M 3TP</t>
  </si>
  <si>
    <t>135 Bishopsgate, 7th Floor, London, EC2M 3TP, United Kingdom</t>
  </si>
  <si>
    <t>Madrid</t>
  </si>
  <si>
    <t>Spain</t>
  </si>
  <si>
    <t>ES</t>
  </si>
  <si>
    <t>ChamartÃ­n</t>
  </si>
  <si>
    <t>Enrique Jardiel Poncela</t>
  </si>
  <si>
    <t>Enrique Jardiel Poncela, 6. 4Âª Planta., Madrid, 28016, Spain</t>
  </si>
  <si>
    <t>Manchester</t>
  </si>
  <si>
    <t>Deansgate</t>
  </si>
  <si>
    <t>M3 3WF</t>
  </si>
  <si>
    <t>196 Deansgate, 4th Floor, Manchester, M3 3WF, United Kingdom</t>
  </si>
  <si>
    <t>Milan</t>
  </si>
  <si>
    <t>Italy</t>
  </si>
  <si>
    <t>IT</t>
  </si>
  <si>
    <t>Centro Leoni</t>
  </si>
  <si>
    <t>Via Giovanni Spadolini</t>
  </si>
  <si>
    <t>Via Giovanni Spadolini 7, Centro Leoni, Palazzo B, 20141 Milano, Italy</t>
  </si>
  <si>
    <t>New Delhi</t>
  </si>
  <si>
    <t>Asia-Pacific</t>
  </si>
  <si>
    <t>India</t>
  </si>
  <si>
    <t>IN</t>
  </si>
  <si>
    <t>Kalkaji</t>
  </si>
  <si>
    <t>Guru Ravi Dass Marg</t>
  </si>
  <si>
    <t>8 Balaji Estate, Guru Ravi Dass Marg, Kalkaji, New Delhi, 110019, India</t>
  </si>
  <si>
    <t>Prague</t>
  </si>
  <si>
    <t>Czech Republic</t>
  </si>
  <si>
    <t>CZ</t>
  </si>
  <si>
    <t>Praha 2</t>
  </si>
  <si>
    <t>120 00</t>
  </si>
  <si>
    <t>Riegrovy sady</t>
  </si>
  <si>
    <t>Riegrovy sady 28, 120 00 Prague 2, Czech Republic</t>
  </si>
  <si>
    <t>Seoul</t>
  </si>
  <si>
    <t>South Korea</t>
  </si>
  <si>
    <t>KR</t>
  </si>
  <si>
    <t>Gangnam-gu</t>
  </si>
  <si>
    <t>135-931</t>
  </si>
  <si>
    <t>Bongeunsa-ro 2 gil</t>
  </si>
  <si>
    <t>7F, 31, Bongeunsa-ro 2 gil, Gangnam-gu, Seoul, South Korea</t>
  </si>
  <si>
    <t>Sydney</t>
  </si>
  <si>
    <t>Australia</t>
  </si>
  <si>
    <t>AU</t>
  </si>
  <si>
    <t>Kent Street</t>
  </si>
  <si>
    <t>Level 6, 360 Kent Street, Sydney, NSW 2000, Australia</t>
  </si>
  <si>
    <t>Tokyo</t>
  </si>
  <si>
    <t>Japan</t>
  </si>
  <si>
    <t>JP</t>
  </si>
  <si>
    <t>Minato-ku</t>
  </si>
  <si>
    <t>107-0062</t>
  </si>
  <si>
    <t>Minami Aoyama</t>
  </si>
  <si>
    <t>Shin-Aoyama Bldg. East 12th Floor</t>
  </si>
  <si>
    <t>Shin-Aoyama Bldg. East 12th Floor, Minami Aoyama, Minato-ku, Tokyo, 107-0062, Japan</t>
  </si>
  <si>
    <t>Bogota</t>
  </si>
  <si>
    <t>Sao Paulo</t>
  </si>
  <si>
    <t>EventVenue</t>
  </si>
  <si>
    <t>UpdatedBy</t>
  </si>
  <si>
    <t>UpdatedOn</t>
  </si>
  <si>
    <t>EventStartDate</t>
  </si>
  <si>
    <t>EventEndDate</t>
  </si>
  <si>
    <t>EventDetails</t>
  </si>
  <si>
    <t>EventName</t>
  </si>
  <si>
    <t>EventNotes</t>
  </si>
  <si>
    <t>ImpoertSequenceNumber</t>
  </si>
  <si>
    <t>Index</t>
  </si>
  <si>
    <t>Owner</t>
  </si>
  <si>
    <t>OwnerName</t>
  </si>
  <si>
    <t>YearMonthStart</t>
  </si>
  <si>
    <t>YearMonthEnd</t>
  </si>
  <si>
    <t>event[campaign_id]</t>
  </si>
  <si>
    <t>event[start_date]</t>
  </si>
  <si>
    <t>event[end_date]</t>
  </si>
  <si>
    <t>event[start_time]</t>
  </si>
  <si>
    <t>event[end_time]</t>
  </si>
  <si>
    <t>event[place_reference]</t>
  </si>
  <si>
    <t>event[active]</t>
  </si>
  <si>
    <t>event[description]</t>
  </si>
  <si>
    <t>08/27/2024</t>
  </si>
  <si>
    <t>10 AM</t>
  </si>
  <si>
    <t>5 PM</t>
  </si>
  <si>
    <t>9 AM</t>
  </si>
  <si>
    <t>ChIJkQVcwbJZwokRWcD1q1bMRO4||ChIJkQVcwbJZwokRWcD1q1bMRO4</t>
  </si>
  <si>
    <t>Event Description</t>
  </si>
  <si>
    <t>09/01/2024</t>
  </si>
  <si>
    <t>Brandscopic</t>
  </si>
  <si>
    <t>MONYCVER2408271448</t>
  </si>
  <si>
    <t>MONYCCOC2408291053</t>
  </si>
  <si>
    <t>MONY2308241448COC004</t>
  </si>
  <si>
    <t>MONY2308241448COC002</t>
  </si>
  <si>
    <t>MONY2308241448COC012</t>
  </si>
  <si>
    <t>MONY2308241448COC010</t>
  </si>
  <si>
    <t>MONY2308241448COC008</t>
  </si>
  <si>
    <t>MONY2308241448COC005</t>
  </si>
  <si>
    <t>MONY2308241448COC003</t>
  </si>
  <si>
    <t>MONY2308241448COC001</t>
  </si>
  <si>
    <t>QR tiger</t>
  </si>
  <si>
    <t>imageUrl</t>
  </si>
  <si>
    <t>qrUrl</t>
  </si>
  <si>
    <t>Brief</t>
  </si>
  <si>
    <t>shortUrl</t>
  </si>
  <si>
    <t>redirectUrl</t>
  </si>
  <si>
    <t>qrName</t>
  </si>
  <si>
    <t>qrImage</t>
  </si>
  <si>
    <t>createdAt</t>
  </si>
  <si>
    <t>executionID</t>
  </si>
  <si>
    <t>EventID</t>
  </si>
  <si>
    <t>qrID</t>
  </si>
  <si>
    <t>abcdefghi</t>
  </si>
  <si>
    <t>eventID</t>
  </si>
  <si>
    <t>Mesh</t>
  </si>
  <si>
    <t>ActivationId</t>
  </si>
  <si>
    <t>JobNumber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</si>
</sst>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yyyym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8" fillId="0" borderId="0" xfId="42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applyNumberFormat="1"/>
    <xf numFmtId="49" fontId="0" fillId="0" borderId="0" xfId="0" applyNumberForma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4" formatCode="dd/mm/yyyy\ hh:mm:ss"/>
    </dxf>
    <dxf>
      <fill>
        <patternFill patternType="none">
          <fgColor indexed="64"/>
          <bgColor indexed="65"/>
        </patternFill>
      </fill>
    </dxf>
    <dxf>
      <numFmt numFmtId="164" formatCode="dd/mm/yyyy\ hh:mm:ss"/>
    </dxf>
    <dxf>
      <fill>
        <patternFill patternType="none">
          <fgColor indexed="64"/>
          <bgColor indexed="65"/>
        </patternFill>
      </fill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\ hh:mm:ss"/>
    </dxf>
    <dxf>
      <numFmt numFmtId="164" formatCode="dd/mm/yyyy\ hh:mm:ss"/>
    </dxf>
    <dxf>
      <numFmt numFmtId="27" formatCode="dd/mm/yyyy\ hh:mm"/>
    </dxf>
    <dxf>
      <numFmt numFmtId="165" formatCode="yyyymm"/>
    </dxf>
    <dxf>
      <numFmt numFmtId="165" formatCode="yyyy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5" formatCode="yyyymm"/>
    </dxf>
    <dxf>
      <numFmt numFmtId="165" formatCode="yyyymm"/>
    </dxf>
    <dxf>
      <numFmt numFmtId="164" formatCode="dd/mm/yyyy\ hh:mm:ss"/>
    </dxf>
    <dxf>
      <numFmt numFmtId="164" formatCode="dd/mm/yyyy\ hh:mm:ss"/>
    </dxf>
    <dxf>
      <numFmt numFmtId="164" formatCode="dd/mm/yyyy\ hh:mm:ss"/>
    </dxf>
    <dxf>
      <fill>
        <patternFill patternType="none">
          <fgColor indexed="64"/>
          <bgColor indexed="65"/>
        </patternFill>
      </fill>
    </dxf>
    <dxf>
      <numFmt numFmtId="164" formatCode="dd/mm/yyyy\ hh:mm:ss"/>
    </dxf>
    <dxf>
      <fill>
        <patternFill patternType="none">
          <fgColor indexed="64"/>
          <bgColor indexed="65"/>
        </patternFill>
      </fill>
    </dxf>
    <dxf>
      <numFmt numFmtId="164" formatCode="dd/mm/yyyy\ hh:mm:ss"/>
    </dxf>
    <dxf>
      <fill>
        <patternFill patternType="none">
          <fgColor indexed="64"/>
          <bgColor indexed="65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mpaing" displayName="tblCampaing" ref="A1:V8" totalsRowShown="0">
  <autoFilter ref="A1:V8" xr:uid="{00000000-0009-0000-0100-000001000000}"/>
  <tableColumns count="22">
    <tableColumn id="10" xr3:uid="{00000000-0010-0000-0000-00000A000000}" name="Id"/>
    <tableColumn id="2" xr3:uid="{00000000-0010-0000-0000-000002000000}" name="CampaignDescription"/>
    <tableColumn id="3" xr3:uid="{00000000-0010-0000-0000-000003000000}" name="CampaignName"/>
    <tableColumn id="4" xr3:uid="{00000000-0010-0000-0000-000004000000}" name="CampaignNotes"/>
    <tableColumn id="5" xr3:uid="{00000000-0010-0000-0000-000005000000}" name="Status"/>
    <tableColumn id="6" xr3:uid="{00000000-0010-0000-0000-000006000000}" name="Client"/>
    <tableColumn id="7" xr3:uid="{DF6B2DFA-4588-4234-B626-8437AA801A75}" name="JobNumber"/>
    <tableColumn id="9" xr3:uid="{00000000-0010-0000-0000-000009000000}" name="EventType"/>
    <tableColumn id="11" xr3:uid="{00000000-0010-0000-0000-00000B000000}" name="importSequenceNumber"/>
    <tableColumn id="13" xr3:uid="{00000000-0010-0000-0000-00000D000000}" name="MasterProgram"/>
    <tableColumn id="22" xr3:uid="{8C0483B2-BE04-4B87-B79C-FDE3596CE426}" name="CampaignOwner" dataDxfId="34"/>
    <tableColumn id="15" xr3:uid="{00000000-0010-0000-0000-00000F000000}" name="CampaignOwnerEmail"/>
    <tableColumn id="16" xr3:uid="{00000000-0010-0000-0000-000010000000}" name="Region"/>
    <tableColumn id="18" xr3:uid="{56D2A4DB-D2DA-4FCA-B8F8-50C4964FD272}" name="CreatedByName"/>
    <tableColumn id="19" xr3:uid="{FA6F2977-E07D-45E4-AD3B-084EE38C022B}" name="CreatedBy" dataDxfId="33"/>
    <tableColumn id="20" xr3:uid="{00000000-0010-0000-0000-000014000000}" name="CreatedOn" dataDxfId="32"/>
    <tableColumn id="1" xr3:uid="{F48AD8B5-389E-4C7C-92CE-339EE781ED96}" name="UpdatedByName"/>
    <tableColumn id="17" xr3:uid="{155F9D67-DAD6-4203-BFDC-0D27A9F03DB1}" name="JobNumbers"/>
    <tableColumn id="23" xr3:uid="{00000000-0010-0000-0000-000017000000}" name="Visible"/>
    <tableColumn id="24" xr3:uid="{00000000-0010-0000-0000-000018000000}" name="Year"/>
    <tableColumn id="14" xr3:uid="{00000000-0010-0000-0000-00000E000000}" name="Month"/>
    <tableColumn id="25" xr3:uid="{00000000-0010-0000-0000-000019000000}" name="Year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767962-4946-489A-8D70-9A001FBAE217}" name="tblEvents" displayName="tblEvents" ref="A1:AK19" totalsRowShown="0">
  <autoFilter ref="A1:AK19" xr:uid="{77767962-4946-489A-8D70-9A001FBAE217}"/>
  <tableColumns count="37">
    <tableColumn id="1" xr3:uid="{FF767256-CE32-4EAB-A400-A0A0C4342E75}" name="Active"/>
    <tableColumn id="2" xr3:uid="{7FFD0A39-71F1-4F8F-8358-2E3FEEF95474}" name="Id"/>
    <tableColumn id="3" xr3:uid="{C23BC8CC-1CB6-4E71-80EB-F337C0F0879E}" name="CampaignId"/>
    <tableColumn id="4" xr3:uid="{D8C8FB2F-4C4A-4A7D-84FF-83F26B9A892F}" name="Country"/>
    <tableColumn id="37" xr3:uid="{38FCB001-7AD0-44C5-8D46-FCAA5F3C4492}" name="Client"/>
    <tableColumn id="5" xr3:uid="{74AD0934-97C1-4365-B246-F29ECC9B587D}" name="EventVenue"/>
    <tableColumn id="6" xr3:uid="{A39D2DEC-BE82-426C-9F9D-2FFBBA95BED4}" name="City"/>
    <tableColumn id="7" xr3:uid="{EAD7DA36-14ED-4AA9-B1F6-192901E24E6D}" name="Postcode"/>
    <tableColumn id="8" xr3:uid="{693686A8-CDAF-4543-A380-7F3A2302C5F3}" name="Number"/>
    <tableColumn id="9" xr3:uid="{E298B593-9367-4C91-9C58-D9E8D7B49610}" name="Address1"/>
    <tableColumn id="10" xr3:uid="{0E0E40D0-4F20-49A6-87D2-9200A0C88725}" name="Address2"/>
    <tableColumn id="11" xr3:uid="{CBFF9F93-C7ED-4B47-A80B-642A1739A7B3}" name="Latitude"/>
    <tableColumn id="12" xr3:uid="{35150BDA-6533-43B8-89D1-31B841695684}" name="Longitude"/>
    <tableColumn id="13" xr3:uid="{B33879A4-447F-45C8-9D7F-2B04A8C90EFF}" name="MomentumOffice"/>
    <tableColumn id="14" xr3:uid="{48B5D3D9-FE49-4939-9823-CC02276DF486}" name="DistanceFromOfficeMi"/>
    <tableColumn id="15" xr3:uid="{C959AB63-CA9E-440D-A5B7-E40463F0CA63}" name="DistanceFromOfficeKm"/>
    <tableColumn id="16" xr3:uid="{E5C32DC5-2A61-4C17-A04A-0BCE26972B3E}" name="TimeFromOffice(mins)"/>
    <tableColumn id="17" xr3:uid="{D68DF2F7-E3A0-4052-8F38-DC44358C5794}" name="createdByName"/>
    <tableColumn id="18" xr3:uid="{9D2F6BD8-BBE7-4C2F-88E2-A08F7A7DB95F}" name="CreatedBy" dataDxfId="31"/>
    <tableColumn id="19" xr3:uid="{5BE6894A-694C-4393-8CC9-8ACAAEA4A998}" name="CreatedOn" dataDxfId="30"/>
    <tableColumn id="20" xr3:uid="{28EF4ABD-47F6-4D7F-857C-670C4F375A94}" name="UpdatedByName"/>
    <tableColumn id="21" xr3:uid="{EC59F291-7DB0-4FE5-A6EC-4318A8249C0C}" name="UpdatedBy" dataDxfId="29"/>
    <tableColumn id="22" xr3:uid="{D0ACDA13-4766-4D79-8DCF-2792C908A5A0}" name="UpdatedOn" dataDxfId="28"/>
    <tableColumn id="23" xr3:uid="{00495778-DDD5-49E7-8FAF-CC9E5B84A740}" name="EventStartDate" dataDxfId="27"/>
    <tableColumn id="24" xr3:uid="{3320B312-3E32-4B02-8388-DDDBE650999B}" name="EventEndDate" dataDxfId="26"/>
    <tableColumn id="25" xr3:uid="{B307A732-4C88-450E-98D5-FB539D192A77}" name="EventDetails"/>
    <tableColumn id="26" xr3:uid="{1BB828F5-5456-4D62-81B8-F7FCCAF21CAF}" name="EventName"/>
    <tableColumn id="27" xr3:uid="{185A66B7-E607-4795-948C-1CD7568EECE0}" name="EventNotes"/>
    <tableColumn id="28" xr3:uid="{760C5A7B-7A23-4F83-A988-26168F17722A}" name="Status"/>
    <tableColumn id="29" xr3:uid="{00034DD3-C705-4E28-8245-3A22F730506B}" name="ImpoertSequenceNumber"/>
    <tableColumn id="30" xr3:uid="{C7F8BB85-0AC2-4935-BC0E-21A735E3D1B1}" name="Index"/>
    <tableColumn id="31" xr3:uid="{A7F50E9E-EE60-4C6A-82AC-7084743317A6}" name="Owner"/>
    <tableColumn id="32" xr3:uid="{C1A82DBA-700F-4083-8680-9F09541A8BF5}" name="OwnerName"/>
    <tableColumn id="33" xr3:uid="{38BBBB03-90CD-4BC4-949E-326D646B11EC}" name="Year"/>
    <tableColumn id="34" xr3:uid="{5237B575-F3DB-479E-BA4B-D6E756E6ABB7}" name="Month"/>
    <tableColumn id="35" xr3:uid="{3861B495-3C48-40C4-B256-F2E38C3F0CC4}" name="YearMonthStart" dataDxfId="25"/>
    <tableColumn id="36" xr3:uid="{5C2F6380-47EB-4D66-8D01-0EDACC46A05A}" name="YearMonthEnd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802B76-47A4-4C0B-BF84-C8B75EB30C41}" name="tblActivations" displayName="tblActivations" ref="A1:AI19" totalsRowShown="0">
  <autoFilter ref="A1:AI19" xr:uid="{18802B76-47A4-4C0B-BF84-C8B75EB30C41}"/>
  <tableColumns count="35">
    <tableColumn id="1" xr3:uid="{0A0D2C71-AF1B-451B-8D5B-7A8A944E035A}" name="Active"/>
    <tableColumn id="3" xr3:uid="{A90FBA78-AE96-4C93-AF92-F53E3FAD7BFB}" name="Id"/>
    <tableColumn id="2" xr3:uid="{E92E13BD-7E5B-43E1-B138-7D6E81CFB3BB}" name="EventID">
      <calculatedColumnFormula>LEFT(tblActivations[[#This Row],[Id]],LEN(tblActivations[[#This Row],[Id]])-3)</calculatedColumnFormula>
    </tableColumn>
    <tableColumn id="4" xr3:uid="{23C8E04D-B8F2-4E6D-89F6-B328D6726729}" name="Country"/>
    <tableColumn id="5" xr3:uid="{ED9BB5A5-3BFB-4FC4-88E1-1AFCC590A1C7}" name="Client"/>
    <tableColumn id="6" xr3:uid="{FE2816D2-1713-4382-A84A-239A0DC20007}" name="EventVenue"/>
    <tableColumn id="7" xr3:uid="{29B72D53-0243-4060-8C6B-0505AE3F6724}" name="City"/>
    <tableColumn id="8" xr3:uid="{C28E338E-8A49-4E69-9109-C6BFEC5A2668}" name="Postcode"/>
    <tableColumn id="9" xr3:uid="{60C626A6-CBF2-433F-A53C-C72037787581}" name="Number"/>
    <tableColumn id="10" xr3:uid="{55A45F0A-815E-4876-8C76-F5515BF69BC1}" name="Address1"/>
    <tableColumn id="11" xr3:uid="{F5A83183-C1D9-496D-8A4B-8A682C97B568}" name="Address2"/>
    <tableColumn id="12" xr3:uid="{565EC00E-F42B-4BD2-835B-C1F939F2937A}" name="Latitude"/>
    <tableColumn id="13" xr3:uid="{02594811-0D11-4AD3-9639-9E7C576B3F46}" name="Longitude"/>
    <tableColumn id="14" xr3:uid="{DE4C647D-E2C7-45B2-957A-EF97D2D0B575}" name="MomentumOffice"/>
    <tableColumn id="15" xr3:uid="{E47E578B-459B-45FA-B2C6-51F7E736E37F}" name="DistanceFromOfficeMi"/>
    <tableColumn id="16" xr3:uid="{FF5E16A5-F25E-4A63-85FC-CBDA1DC86000}" name="DistanceFromOfficeKm"/>
    <tableColumn id="17" xr3:uid="{94862F36-459E-4A9D-AA3B-E4C839D1CCFA}" name="TimeFromOffice(mins)"/>
    <tableColumn id="18" xr3:uid="{F676A51E-574E-4B44-8028-E50AB05F7DC7}" name="createdByName"/>
    <tableColumn id="19" xr3:uid="{DD54F096-5A8A-4794-97EF-E07472A3373B}" name="CreatedBy"/>
    <tableColumn id="20" xr3:uid="{07CEFE2B-7E71-43F8-9FD4-8D4A00921811}" name="CreatedOn" dataDxfId="23"/>
    <tableColumn id="21" xr3:uid="{A303DCF2-C6D2-4506-8E22-A09692741B0D}" name="UpdatedByName"/>
    <tableColumn id="22" xr3:uid="{85ADEEFA-B0B0-4762-854D-26E7522EEAE6}" name="UpdatedBy"/>
    <tableColumn id="23" xr3:uid="{4A844581-57EF-468F-A7B6-E0E4070BDF43}" name="UpdatedOn" dataDxfId="22"/>
    <tableColumn id="24" xr3:uid="{7F0F8D57-EF11-4EF3-9F0D-1AB1043013B1}" name="EventStartDate" dataDxfId="21"/>
    <tableColumn id="25" xr3:uid="{5B0B4A73-2CD8-4C4F-A3CB-B5B91E03540E}" name="EventEndDate" dataDxfId="20"/>
    <tableColumn id="26" xr3:uid="{102B9E3B-6E7A-4E76-A0BC-F7F6CA84DC1E}" name="EventDetails"/>
    <tableColumn id="27" xr3:uid="{DC642BBD-CDED-4C06-82F9-512CB660576F}" name="EventName"/>
    <tableColumn id="28" xr3:uid="{AD8214FD-554C-451F-8F17-9B6E25F649D0}" name="EventNotes"/>
    <tableColumn id="29" xr3:uid="{28FAD8F3-F199-443F-BF71-F53FF0A0C221}" name="Status"/>
    <tableColumn id="32" xr3:uid="{C008A97B-FAE8-4EBE-9569-476FD84187D4}" name="Owner"/>
    <tableColumn id="33" xr3:uid="{8B26CC15-8142-4023-B7BF-395665F3CF22}" name="OwnerName"/>
    <tableColumn id="34" xr3:uid="{16E85413-00E1-4AEA-8AFC-9A4D68066644}" name="Year"/>
    <tableColumn id="35" xr3:uid="{D93F3C91-58C3-4C9A-8516-68F8C719184A}" name="Month"/>
    <tableColumn id="36" xr3:uid="{7B4E4ECD-23D2-4070-8F22-6D38464AF991}" name="YearMonthStart" dataDxfId="19">
      <calculatedColumnFormula>V2</calculatedColumnFormula>
    </tableColumn>
    <tableColumn id="37" xr3:uid="{9CD02696-C677-4A19-A3D4-FFC5A4EA7AEB}" name="YearMonthEnd" dataDxfId="18">
      <calculatedColumnFormula>W2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202785-0A88-4512-9CB7-09277138AEC5}" name="tblAssignedUsers" displayName="tblAssignedUsers" ref="A1:O2" totalsRowShown="0">
  <autoFilter ref="A1:O2" xr:uid="{1A202785-0A88-4512-9CB7-09277138AEC5}"/>
  <tableColumns count="15">
    <tableColumn id="1" xr3:uid="{548481F6-209C-45D2-B2C9-633C9CFA9AA8}" name="ActivationId"/>
    <tableColumn id="2" xr3:uid="{7245FEA5-2037-4DCB-82BF-09EBCBD5DFF8}" name="UserName"/>
    <tableColumn id="3" xr3:uid="{93220215-B3DF-4CD8-A44F-01D794DAA951}" name="UserEmail" dataCellStyle="Hyperlink"/>
    <tableColumn id="4" xr3:uid="{2B0889A9-D0E3-47AD-8612-1C2FF0561BFB}" name="UserDepartment"/>
    <tableColumn id="5" xr3:uid="{F538F0FE-B8AD-4A11-81A3-1A55B7CADFCC}" name="UserRole"/>
    <tableColumn id="6" xr3:uid="{4BC7893E-AD0F-40BB-A0BE-1DD4971E1057}" name="OnSite"/>
    <tableColumn id="7" xr3:uid="{ACD36C5C-2516-4D83-BA48-3113AF9E5929}" name="DistanceFromOfficeMi"/>
    <tableColumn id="8" xr3:uid="{47894FF2-9DC5-4DEE-BFAB-73D781D64A9A}" name="DistanceFromOfficeKm"/>
    <tableColumn id="9" xr3:uid="{3556DB9C-AF99-4207-9944-E3031DD55E04}" name="TimeFromOffice(mins)"/>
    <tableColumn id="10" xr3:uid="{9D9FC39A-6363-47CB-8855-B111F5EEF143}" name="ManagerName"/>
    <tableColumn id="11" xr3:uid="{77F839DE-A6A6-473F-B793-BBB4575691B4}" name="ManagerEmail" dataCellStyle="Hyperlink"/>
    <tableColumn id="12" xr3:uid="{69372177-EC1E-4952-BC56-741F2CA6D616}" name="ManagerRole"/>
    <tableColumn id="13" xr3:uid="{1239C2B2-8434-4BE0-BC60-FD1F1A79B819}" name="AssignedByName"/>
    <tableColumn id="14" xr3:uid="{B5FFB4FF-66AA-46EA-A788-7FB78FF55085}" name="AssignedByEmail" dataCellStyle="Hyperlink"/>
    <tableColumn id="15" xr3:uid="{99E3EFA4-5718-4D48-A61C-9BF82FFF062C}" name="AssinedOn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582FEA-3C84-44D5-9796-B8F8262E293F}" name="tblLocation" displayName="tblLocation" ref="A1:AC20" totalsRowShown="0">
  <autoFilter ref="A1:AC20" xr:uid="{88582FEA-3C84-44D5-9796-B8F8262E293F}"/>
  <tableColumns count="29">
    <tableColumn id="1" xr3:uid="{84D13F0D-5261-4BBE-8BCF-954107997B3C}" name="Id"/>
    <tableColumn id="2" xr3:uid="{2E7B81C3-C161-4F4A-9351-AD74C2E40E1C}" name="eventId"/>
    <tableColumn id="3" xr3:uid="{F744FD9C-E6F5-464F-B2D6-5289F9758910}" name="Platform"/>
    <tableColumn id="4" xr3:uid="{0493FC9B-B73F-40B2-AC87-D43A0EAD8399}" name="poiScope"/>
    <tableColumn id="5" xr3:uid="{D9156ED9-1213-4544-B848-D598AFD8A7A0}" name="VenueName"/>
    <tableColumn id="6" xr3:uid="{3C194F14-A92C-4E90-8EC5-C372D97BC9C4}" name="eventStartDate" dataDxfId="16"/>
    <tableColumn id="7" xr3:uid="{5A1D681A-0365-47CA-B86D-4AB1F2FD5A39}" name="eventEndDate" dataDxfId="15"/>
    <tableColumn id="8" xr3:uid="{E8EBF597-ECA4-4C90-B0A4-4C12A5BB9C3D}" name="Entity Type"/>
    <tableColumn id="9" xr3:uid="{ED8C1BEE-CDB8-4072-9C14-35FA679CFA24}" name="Category"/>
    <tableColumn id="10" xr3:uid="{FAF44545-B0B7-4ECB-AB80-BE2790119F0F}" name="Group"/>
    <tableColumn id="11" xr3:uid="{26B0047B-CBDD-458C-834D-8E037764FE51}" name="SubCategory"/>
    <tableColumn id="12" xr3:uid="{7EF3B841-1CC7-4183-A1C4-3A6F44F25712}" name="City"/>
    <tableColumn id="13" xr3:uid="{660C526F-82D5-4FFD-B074-D46B17C71B40}" name="State"/>
    <tableColumn id="14" xr3:uid="{B1B2943D-E272-488F-9AFC-06D4DF9917A0}" name="State Code"/>
    <tableColumn id="15" xr3:uid="{3A519C9C-7420-4BED-9A25-88C271B3D4D3}" name="country"/>
    <tableColumn id="16" xr3:uid="{4A600AB3-8613-48D6-87D6-42F4C6742560}" name="countryCode"/>
    <tableColumn id="17" xr3:uid="{416CC579-85B8-43F9-8048-3E83084989A7}" name="postCode"/>
    <tableColumn id="18" xr3:uid="{4A1FCEB3-014E-4D32-8BF9-CF2AA8E437CB}" name="Address"/>
    <tableColumn id="19" xr3:uid="{62F5EF68-B73E-459A-BA22-8D446AADA515}" name="Formatted Address"/>
    <tableColumn id="20" xr3:uid="{A5AC3F44-AB6E-41B5-8495-43B9DDB2BAB2}" name="Latitude"/>
    <tableColumn id="21" xr3:uid="{A7D4DAA9-CF80-442A-951E-9B227604E913}" name="Longitude"/>
    <tableColumn id="22" xr3:uid="{1C4B54D1-4BF2-464B-9047-F8D67166AAB3}" name="geoJson"/>
    <tableColumn id="23" xr3:uid="{B19A38AA-1772-4A80-A60B-B882E98D6179}" name="Status"/>
    <tableColumn id="24" xr3:uid="{63B254E1-7275-4576-97A7-00E9EE24DD3C}" name="SentOn"/>
    <tableColumn id="25" xr3:uid="{16BC111C-2161-4672-A719-07A251BE63EC}" name="CheckedOn"/>
    <tableColumn id="26" xr3:uid="{A50BC7DB-55CB-4519-89A0-3D503AE47A1B}" name="Count"/>
    <tableColumn id="27" xr3:uid="{84FDEDF2-A644-4F75-A625-D61C954749D0}" name="Tags"/>
    <tableColumn id="28" xr3:uid="{562F9B2E-5797-48B4-8C5D-2AE8897B17B3}" name="url"/>
    <tableColumn id="29" xr3:uid="{CCB4315E-9320-43E8-98F1-20C45EF71742}" name="Status (for obtaining data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CA5127-D0ED-479D-8608-926899CABA8C}" name="tblSurveys" displayName="tblSurveys" ref="A1:L3" totalsRowShown="0">
  <autoFilter ref="A1:L3" xr:uid="{9CCA5127-D0ED-479D-8608-926899CABA8C}"/>
  <tableColumns count="12">
    <tableColumn id="1" xr3:uid="{1FCFB223-69A5-4A9B-8C63-91D2902B14A7}" name="Id"/>
    <tableColumn id="2" xr3:uid="{32189297-5134-4AE2-B906-98F8B308A2C0}" name="eventId"/>
    <tableColumn id="12" xr3:uid="{87665866-9F95-4489-A25F-A48753FD1FED}" name="ActivationId"/>
    <tableColumn id="3" xr3:uid="{43BDB8E0-5852-4D39-BC4B-2A9BE3C0F883}" name="Platform"/>
    <tableColumn id="4" xr3:uid="{2FC29BD3-2D0E-4543-BE19-2E9427E7C18F}" name="event[campaign_id]"/>
    <tableColumn id="5" xr3:uid="{7C1F6291-9582-4129-9ABF-152378EB175D}" name="event[start_date]" dataDxfId="14"/>
    <tableColumn id="6" xr3:uid="{A8CF9D62-E352-455C-BD02-39B54C0FC358}" name="event[end_date]" dataDxfId="13"/>
    <tableColumn id="7" xr3:uid="{208A7F96-9FF0-4DC1-AE17-35E991FE5918}" name="event[start_time]" dataDxfId="12"/>
    <tableColumn id="8" xr3:uid="{F5CFF656-9E94-4EE8-B99A-EFC0C476133D}" name="event[end_time]" dataDxfId="11"/>
    <tableColumn id="9" xr3:uid="{CE472EC1-3C19-446F-B632-4E763C99BA45}" name="event[place_reference]"/>
    <tableColumn id="10" xr3:uid="{CD85CCFA-532F-4C33-9AB6-C606D42C6A4D}" name="event[active]"/>
    <tableColumn id="11" xr3:uid="{BF1A58AD-784A-4A55-8006-60BC7C78D963}" name="event[description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7978A8-5651-470A-97FB-10AD55565FCE}" name="tblBarCodes" displayName="tblBarCodes" ref="A1:P2" totalsRowShown="0">
  <autoFilter ref="A1:P2" xr:uid="{B57978A8-5651-470A-97FB-10AD55565FCE}"/>
  <tableColumns count="16">
    <tableColumn id="1" xr3:uid="{7C17A177-E8A3-419A-85AF-AA61F37B4622}" name="Id"/>
    <tableColumn id="2" xr3:uid="{99D5CF21-BEE9-4D37-943A-3948436EFF0A}" name="executionID"/>
    <tableColumn id="3" xr3:uid="{98DB6A45-8C7D-44ED-ACC2-C15BF729496C}" name="eventID">
      <calculatedColumnFormula>LEFT(tblActivations[[#This Row],[Id]],LEN(tblActivations[[#This Row],[Id]])-3)</calculatedColumnFormula>
    </tableColumn>
    <tableColumn id="16" xr3:uid="{3649D981-4036-467D-ADC4-819EDB009C7A}" name="ActivationId"/>
    <tableColumn id="15" xr3:uid="{1D1C04F8-DC28-4147-B3DA-3EC70F7D1904}" name="qrID"/>
    <tableColumn id="4" xr3:uid="{17BA36FF-8A73-48DA-88A4-4279FEE81DB8}" name="Platform"/>
    <tableColumn id="5" xr3:uid="{E5E98E23-7614-484C-8347-C0B503B4A1EE}" name="eventStartDate" dataDxfId="10"/>
    <tableColumn id="6" xr3:uid="{DEC3B693-F1ED-49C5-9594-3D06DA5FDFF5}" name="eventEndDate" dataDxfId="9"/>
    <tableColumn id="7" xr3:uid="{A7A43521-7110-4E3C-B0B7-61A87A2AEB0E}" name="imageUrl"/>
    <tableColumn id="8" xr3:uid="{C8618A48-7E81-4591-AC32-7C4AAF9224A1}" name="qrUrl"/>
    <tableColumn id="9" xr3:uid="{F6CDC408-9AE5-450A-B34C-13B7B2086931}" name="Brief"/>
    <tableColumn id="10" xr3:uid="{EB9ED3A6-4DA3-4BE8-8861-E63597CDD5AA}" name="shortUrl"/>
    <tableColumn id="11" xr3:uid="{A6689E1F-941E-468F-B914-6F3E13BEC7E8}" name="redirectUrl"/>
    <tableColumn id="12" xr3:uid="{D711E3CD-A845-4D7F-AECF-D598AE2C5AA5}" name="qrName"/>
    <tableColumn id="13" xr3:uid="{E8632FAA-AC34-4BEE-8AD5-FD918F4E6D5C}" name="qrImage"/>
    <tableColumn id="14" xr3:uid="{A10093DF-A0D5-4931-B3E3-6CDB0BCA8018}" name="created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DB3874-512C-4B2F-A63E-52B966CAB04F}" name="tblFields" displayName="tblFields" ref="A1:H5" totalsRowShown="0">
  <autoFilter ref="A1:H5" xr:uid="{D8DB3874-512C-4B2F-A63E-52B966CAB04F}"/>
  <tableColumns count="8">
    <tableColumn id="1" xr3:uid="{9D543806-C85A-4720-B995-10D8B9B2FD16}" name="field"/>
    <tableColumn id="2" xr3:uid="{3365D4B7-03FF-47C8-A049-F074F54EBBFB}" name="id"/>
    <tableColumn id="3" xr3:uid="{FE0CFA34-C417-4A4F-9844-5B0C1D5B390E}" name="value"/>
    <tableColumn id="4" xr3:uid="{1443623E-DEEC-4F68-97F1-F781651EDFE0}" name="previousValue"/>
    <tableColumn id="5" xr3:uid="{C75C90FA-3836-4C8B-A2C8-E87496F0651E}" name="CreatedBy" dataDxfId="8"/>
    <tableColumn id="6" xr3:uid="{AB27700C-1D8A-4968-8652-EE295A9A0CD9}" name="createdOn" dataDxfId="7"/>
    <tableColumn id="7" xr3:uid="{6E6D77A7-DEA4-4482-B4FF-BAA10C43EEE2}" name="updatedBy" dataDxfId="6"/>
    <tableColumn id="8" xr3:uid="{8AF4EA79-1033-40F8-8D00-37C71623140F}" name="updatedOn" data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pi" displayName="tblApi" ref="A1:H5" totalsRowShown="0">
  <autoFilter ref="A1:H5" xr:uid="{00000000-0009-0000-0100-000002000000}"/>
  <tableColumns count="8">
    <tableColumn id="1" xr3:uid="{00000000-0010-0000-0100-000001000000}" name="id"/>
    <tableColumn id="2" xr3:uid="{00000000-0010-0000-0100-000002000000}" name="platform"/>
    <tableColumn id="3" xr3:uid="{00000000-0010-0000-0100-000003000000}" name="apiKey"/>
    <tableColumn id="4" xr3:uid="{00000000-0010-0000-0100-000004000000}" name="createdOn" dataDxfId="4"/>
    <tableColumn id="5" xr3:uid="{00000000-0010-0000-0100-000005000000}" name="createdBy"/>
    <tableColumn id="6" xr3:uid="{00000000-0010-0000-0100-000006000000}" name="modifiedOn" dataDxfId="3"/>
    <tableColumn id="7" xr3:uid="{00000000-0010-0000-0100-000007000000}" name="modifiedBy"/>
    <tableColumn id="8" xr3:uid="{00000000-0010-0000-0100-000008000000}" name="expiryDate" dataDxfId="2">
      <calculatedColumnFormula>F2+365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B817CD-E30B-4EC7-BEA7-AE00935CF59C}" name="tblOffices" displayName="tblOffices" ref="A1:L26" totalsRowShown="0">
  <autoFilter ref="A1:L26" xr:uid="{07B817CD-E30B-4EC7-BEA7-AE00935CF59C}"/>
  <tableColumns count="12">
    <tableColumn id="1" xr3:uid="{0CDFA819-D21A-4E26-974C-3517AE71AC2B}" name="Office"/>
    <tableColumn id="2" xr3:uid="{16E1B48F-AB3A-4660-93AA-D58D90E3CC47}" name="Region"/>
    <tableColumn id="3" xr3:uid="{6240162E-E0E2-4BDE-878B-221D45A832FE}" name="Country"/>
    <tableColumn id="4" xr3:uid="{F4E9EEB1-9C7D-4087-BCF8-AC4996AA287E}" name="CountryCode"/>
    <tableColumn id="5" xr3:uid="{4228B860-154D-49D1-ADAC-B8F053A117CD}" name="Municipality"/>
    <tableColumn id="6" xr3:uid="{57037DC7-D12B-460F-9155-711F1A0B3E91}" name="MunicipalitySubdivision"/>
    <tableColumn id="7" xr3:uid="{0707981A-39DD-49AF-A8BD-F314D3938217}" name="PostalCode" dataDxfId="1"/>
    <tableColumn id="8" xr3:uid="{43734D67-4E53-458F-B99C-00C5C0569C15}" name="StreetName"/>
    <tableColumn id="9" xr3:uid="{2606BDD1-2521-4D76-9C99-8D97C8A63A79}" name="StreetNumber" dataDxfId="0"/>
    <tableColumn id="10" xr3:uid="{1EFF3095-3E57-4A16-89A6-663BE67CA062}" name="FullAddress"/>
    <tableColumn id="11" xr3:uid="{27A862E8-E79E-43C1-8CC6-E81D3C65771E}" name="Latitude"/>
    <tableColumn id="12" xr3:uid="{893EB0E5-DD1C-4691-91FE-7D27193CA3FC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nalytics.placer.ai/" TargetMode="External"/><Relationship Id="rId2" Type="http://schemas.openxmlformats.org/officeDocument/2006/relationships/hyperlink" Target="https://analytics.placer.ai/" TargetMode="External"/><Relationship Id="rId1" Type="http://schemas.openxmlformats.org/officeDocument/2006/relationships/hyperlink" Target="https://analytics.placer.ai/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workbookViewId="0">
      <selection activeCell="H4" sqref="A1:V8"/>
    </sheetView>
  </sheetViews>
  <sheetFormatPr defaultRowHeight="15" x14ac:dyDescent="0.25"/>
  <cols>
    <col min="1" max="1" width="22.140625" bestFit="1" customWidth="1"/>
    <col min="2" max="2" width="45.85546875" customWidth="1"/>
    <col min="3" max="3" width="17.7109375" bestFit="1" customWidth="1"/>
    <col min="4" max="4" width="45.85546875" customWidth="1"/>
    <col min="5" max="5" width="10.42578125" bestFit="1" customWidth="1"/>
    <col min="6" max="6" width="8.85546875" bestFit="1" customWidth="1"/>
    <col min="7" max="7" width="13.5703125" bestFit="1" customWidth="1"/>
    <col min="8" max="8" width="12.7109375" bestFit="1" customWidth="1"/>
    <col min="9" max="9" width="26" bestFit="1" customWidth="1"/>
    <col min="10" max="10" width="17" bestFit="1" customWidth="1"/>
    <col min="11" max="11" width="18.28515625" bestFit="1" customWidth="1"/>
    <col min="12" max="12" width="35.42578125" bestFit="1" customWidth="1"/>
    <col min="13" max="13" width="10" bestFit="1" customWidth="1"/>
    <col min="14" max="14" width="18.140625" bestFit="1" customWidth="1"/>
    <col min="15" max="15" width="32.7109375" bestFit="1" customWidth="1"/>
    <col min="16" max="16" width="18.28515625" bestFit="1" customWidth="1"/>
    <col min="17" max="17" width="18.42578125" bestFit="1" customWidth="1"/>
    <col min="18" max="18" width="14.5703125" bestFit="1" customWidth="1"/>
    <col min="19" max="19" width="9.28515625" bestFit="1" customWidth="1"/>
    <col min="20" max="20" width="7.140625" bestFit="1" customWidth="1"/>
    <col min="21" max="21" width="9.140625" bestFit="1" customWidth="1"/>
    <col min="22" max="22" width="13" bestFit="1" customWidth="1"/>
    <col min="23" max="23" width="7" customWidth="1"/>
    <col min="24" max="24" width="3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488</v>
      </c>
      <c r="H1" s="10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4" x14ac:dyDescent="0.25">
      <c r="A2" t="s">
        <v>462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>
        <v>12198000</v>
      </c>
      <c r="H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28</v>
      </c>
      <c r="O2" t="s">
        <v>29</v>
      </c>
      <c r="P2" s="2">
        <v>45536.504004629627</v>
      </c>
      <c r="Q2" t="s">
        <v>28</v>
      </c>
      <c r="S2" t="b">
        <v>1</v>
      </c>
      <c r="T2">
        <v>2023</v>
      </c>
      <c r="U2">
        <v>9</v>
      </c>
      <c r="V2">
        <v>202309</v>
      </c>
      <c r="X2">
        <f>COUNTIF(tblEvents!$C$2:$C$19,tblCampaing[[#This Row],[Id]])</f>
        <v>9</v>
      </c>
    </row>
    <row r="3" spans="1:24" x14ac:dyDescent="0.25">
      <c r="A3" t="s">
        <v>462</v>
      </c>
      <c r="B3" t="s">
        <v>22</v>
      </c>
      <c r="C3" t="s">
        <v>31</v>
      </c>
      <c r="D3" t="s">
        <v>22</v>
      </c>
      <c r="E3" t="s">
        <v>32</v>
      </c>
      <c r="F3" t="s">
        <v>25</v>
      </c>
      <c r="G3">
        <v>12198000</v>
      </c>
      <c r="H3" t="s">
        <v>26</v>
      </c>
      <c r="J3" t="s">
        <v>27</v>
      </c>
      <c r="K3" t="s">
        <v>33</v>
      </c>
      <c r="L3" t="s">
        <v>34</v>
      </c>
      <c r="M3" t="s">
        <v>35</v>
      </c>
      <c r="N3" t="s">
        <v>28</v>
      </c>
      <c r="O3" t="s">
        <v>29</v>
      </c>
      <c r="P3" s="2">
        <v>45535.504004629627</v>
      </c>
      <c r="Q3" t="s">
        <v>28</v>
      </c>
      <c r="S3" t="b">
        <v>1</v>
      </c>
      <c r="T3">
        <v>2023</v>
      </c>
      <c r="U3">
        <v>9</v>
      </c>
      <c r="V3">
        <v>202309</v>
      </c>
      <c r="X3">
        <f>COUNTIF(tblEvents!$C$2:$C$19,tblCampaing[[#This Row],[Id]])</f>
        <v>9</v>
      </c>
    </row>
    <row r="4" spans="1:24" x14ac:dyDescent="0.25">
      <c r="A4" t="s">
        <v>463</v>
      </c>
      <c r="B4" t="s">
        <v>22</v>
      </c>
      <c r="C4" t="s">
        <v>36</v>
      </c>
      <c r="D4" t="s">
        <v>22</v>
      </c>
      <c r="E4" t="s">
        <v>24</v>
      </c>
      <c r="F4" t="s">
        <v>25</v>
      </c>
      <c r="G4">
        <v>12198000</v>
      </c>
      <c r="H4" t="s">
        <v>26</v>
      </c>
      <c r="J4" t="s">
        <v>27</v>
      </c>
      <c r="K4" t="s">
        <v>37</v>
      </c>
      <c r="L4" t="s">
        <v>38</v>
      </c>
      <c r="M4" t="s">
        <v>39</v>
      </c>
      <c r="N4" t="s">
        <v>28</v>
      </c>
      <c r="O4" t="s">
        <v>29</v>
      </c>
      <c r="P4" s="2">
        <v>45534.504004629627</v>
      </c>
      <c r="Q4" t="s">
        <v>28</v>
      </c>
      <c r="S4" t="b">
        <v>1</v>
      </c>
      <c r="T4">
        <v>2023</v>
      </c>
      <c r="U4">
        <v>9</v>
      </c>
      <c r="V4">
        <v>202309</v>
      </c>
      <c r="X4">
        <f>COUNTIF(tblEvents!$C$2:$C$19,tblCampaing[[#This Row],[Id]])</f>
        <v>9</v>
      </c>
    </row>
    <row r="5" spans="1:24" x14ac:dyDescent="0.25">
      <c r="A5" t="s">
        <v>463</v>
      </c>
      <c r="B5" t="s">
        <v>22</v>
      </c>
      <c r="C5" t="s">
        <v>40</v>
      </c>
      <c r="D5" t="s">
        <v>22</v>
      </c>
      <c r="E5" t="s">
        <v>41</v>
      </c>
      <c r="F5" t="s">
        <v>25</v>
      </c>
      <c r="G5">
        <v>12198000</v>
      </c>
      <c r="H5" t="s">
        <v>26</v>
      </c>
      <c r="J5" t="s">
        <v>27</v>
      </c>
      <c r="K5" t="s">
        <v>42</v>
      </c>
      <c r="L5" t="s">
        <v>43</v>
      </c>
      <c r="M5" t="s">
        <v>39</v>
      </c>
      <c r="N5" t="s">
        <v>28</v>
      </c>
      <c r="O5" t="s">
        <v>29</v>
      </c>
      <c r="P5" s="2">
        <v>45533.504004629627</v>
      </c>
      <c r="Q5" t="s">
        <v>28</v>
      </c>
      <c r="S5" t="b">
        <v>1</v>
      </c>
      <c r="T5">
        <v>2023</v>
      </c>
      <c r="U5">
        <v>9</v>
      </c>
      <c r="V5">
        <v>202309</v>
      </c>
      <c r="X5">
        <f>COUNTIF(tblEvents!$C$2:$C$19,tblCampaing[[#This Row],[Id]])</f>
        <v>9</v>
      </c>
    </row>
    <row r="6" spans="1:24" x14ac:dyDescent="0.25">
      <c r="A6" t="s">
        <v>463</v>
      </c>
      <c r="B6" t="s">
        <v>22</v>
      </c>
      <c r="C6" t="s">
        <v>44</v>
      </c>
      <c r="D6" t="s">
        <v>22</v>
      </c>
      <c r="E6" t="s">
        <v>45</v>
      </c>
      <c r="F6" t="s">
        <v>25</v>
      </c>
      <c r="G6">
        <v>12198000</v>
      </c>
      <c r="H6" t="s">
        <v>26</v>
      </c>
      <c r="J6" t="s">
        <v>27</v>
      </c>
      <c r="K6" t="s">
        <v>28</v>
      </c>
      <c r="L6" t="s">
        <v>29</v>
      </c>
      <c r="M6" t="s">
        <v>39</v>
      </c>
      <c r="N6" t="s">
        <v>46</v>
      </c>
      <c r="O6" t="s">
        <v>47</v>
      </c>
      <c r="P6" s="2">
        <v>45532.504004629627</v>
      </c>
      <c r="Q6" t="s">
        <v>28</v>
      </c>
      <c r="S6" t="b">
        <v>1</v>
      </c>
      <c r="T6">
        <v>2023</v>
      </c>
      <c r="U6">
        <v>9</v>
      </c>
      <c r="V6">
        <v>202309</v>
      </c>
      <c r="X6">
        <f>COUNTIF(tblEvents!$C$2:$C$19,tblCampaing[[#This Row],[Id]])</f>
        <v>9</v>
      </c>
    </row>
    <row r="7" spans="1:24" x14ac:dyDescent="0.25">
      <c r="A7" t="s">
        <v>463</v>
      </c>
      <c r="B7" t="s">
        <v>22</v>
      </c>
      <c r="C7" t="s">
        <v>49</v>
      </c>
      <c r="D7" t="s">
        <v>22</v>
      </c>
      <c r="E7" t="s">
        <v>50</v>
      </c>
      <c r="F7" t="s">
        <v>25</v>
      </c>
      <c r="G7">
        <v>12198000</v>
      </c>
      <c r="H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28</v>
      </c>
      <c r="O7" t="s">
        <v>29</v>
      </c>
      <c r="P7" s="2">
        <v>45538.504004629627</v>
      </c>
      <c r="Q7" t="s">
        <v>28</v>
      </c>
      <c r="S7" t="b">
        <v>1</v>
      </c>
      <c r="T7">
        <v>2023</v>
      </c>
      <c r="U7">
        <v>9</v>
      </c>
      <c r="V7">
        <v>202309</v>
      </c>
      <c r="X7">
        <f>COUNTIF(tblEvents!$C$2:$C$19,tblCampaing[[#This Row],[Id]])</f>
        <v>9</v>
      </c>
    </row>
    <row r="8" spans="1:24" x14ac:dyDescent="0.25">
      <c r="A8" t="s">
        <v>463</v>
      </c>
      <c r="B8" t="s">
        <v>22</v>
      </c>
      <c r="C8" t="s">
        <v>52</v>
      </c>
      <c r="D8" t="s">
        <v>22</v>
      </c>
      <c r="E8" t="s">
        <v>24</v>
      </c>
      <c r="F8" t="s">
        <v>25</v>
      </c>
      <c r="G8">
        <v>12198000</v>
      </c>
      <c r="H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28</v>
      </c>
      <c r="O8" t="s">
        <v>29</v>
      </c>
      <c r="P8" s="2">
        <v>45536.504004629627</v>
      </c>
      <c r="Q8" t="s">
        <v>28</v>
      </c>
      <c r="S8" t="b">
        <v>1</v>
      </c>
      <c r="T8">
        <v>2023</v>
      </c>
      <c r="U8">
        <v>9</v>
      </c>
      <c r="V8">
        <v>202309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9"/>
  <sheetViews>
    <sheetView topLeftCell="AA1" zoomScaleNormal="100" workbookViewId="0">
      <selection sqref="A1:AK19"/>
    </sheetView>
  </sheetViews>
  <sheetFormatPr defaultRowHeight="15" x14ac:dyDescent="0.25"/>
  <cols>
    <col min="1" max="1" width="8.7109375" customWidth="1"/>
    <col min="2" max="2" width="23.140625" bestFit="1" customWidth="1"/>
    <col min="3" max="3" width="21.140625" bestFit="1" customWidth="1"/>
    <col min="4" max="4" width="12.28515625" bestFit="1" customWidth="1"/>
    <col min="5" max="5" width="12.28515625" customWidth="1"/>
    <col min="6" max="6" width="21.140625" bestFit="1" customWidth="1"/>
    <col min="7" max="13" width="12.28515625" customWidth="1"/>
    <col min="14" max="14" width="30.5703125" bestFit="1" customWidth="1"/>
    <col min="15" max="15" width="23.42578125" customWidth="1"/>
    <col min="16" max="16" width="24.140625" customWidth="1"/>
    <col min="17" max="17" width="23.5703125" customWidth="1"/>
    <col min="18" max="18" width="17.42578125" customWidth="1"/>
    <col min="19" max="19" width="15.42578125" customWidth="1"/>
    <col min="20" max="20" width="18.28515625" bestFit="1" customWidth="1"/>
    <col min="21" max="21" width="18.140625" customWidth="1"/>
    <col min="22" max="22" width="12.7109375" customWidth="1"/>
    <col min="23" max="24" width="18.28515625" bestFit="1" customWidth="1"/>
    <col min="25" max="25" width="18.28515625" customWidth="1"/>
    <col min="26" max="26" width="62" customWidth="1"/>
    <col min="27" max="27" width="26.140625" bestFit="1" customWidth="1"/>
    <col min="28" max="28" width="16.7109375" customWidth="1"/>
    <col min="29" max="29" width="11.42578125" bestFit="1" customWidth="1"/>
    <col min="30" max="30" width="25" customWidth="1"/>
    <col min="31" max="31" width="8.140625" customWidth="1"/>
    <col min="32" max="32" width="35.42578125" bestFit="1" customWidth="1"/>
    <col min="33" max="33" width="35.42578125" customWidth="1"/>
    <col min="34" max="34" width="7" customWidth="1"/>
    <col min="35" max="35" width="9" customWidth="1"/>
    <col min="36" max="37" width="18.28515625" bestFit="1" customWidth="1"/>
  </cols>
  <sheetData>
    <row r="1" spans="1:37" x14ac:dyDescent="0.25">
      <c r="A1" t="s">
        <v>32</v>
      </c>
      <c r="B1" t="s">
        <v>0</v>
      </c>
      <c r="C1" t="s">
        <v>53</v>
      </c>
      <c r="D1" t="s">
        <v>54</v>
      </c>
      <c r="E1" t="s">
        <v>5</v>
      </c>
      <c r="F1" t="s">
        <v>432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13</v>
      </c>
      <c r="T1" t="s">
        <v>14</v>
      </c>
      <c r="U1" t="s">
        <v>15</v>
      </c>
      <c r="V1" t="s">
        <v>433</v>
      </c>
      <c r="W1" t="s">
        <v>434</v>
      </c>
      <c r="X1" t="s">
        <v>435</v>
      </c>
      <c r="Y1" t="s">
        <v>436</v>
      </c>
      <c r="Z1" t="s">
        <v>437</v>
      </c>
      <c r="AA1" t="s">
        <v>438</v>
      </c>
      <c r="AB1" t="s">
        <v>439</v>
      </c>
      <c r="AC1" t="s">
        <v>4</v>
      </c>
      <c r="AD1" t="s">
        <v>440</v>
      </c>
      <c r="AE1" t="s">
        <v>441</v>
      </c>
      <c r="AF1" t="s">
        <v>442</v>
      </c>
      <c r="AG1" t="s">
        <v>443</v>
      </c>
      <c r="AH1" t="s">
        <v>18</v>
      </c>
      <c r="AI1" t="s">
        <v>19</v>
      </c>
      <c r="AJ1" t="s">
        <v>444</v>
      </c>
      <c r="AK1" t="s">
        <v>445</v>
      </c>
    </row>
    <row r="2" spans="1:37" x14ac:dyDescent="0.25">
      <c r="A2" t="b">
        <v>1</v>
      </c>
      <c r="B2" t="s">
        <v>72</v>
      </c>
      <c r="C2" t="s">
        <v>462</v>
      </c>
      <c r="D2" t="s">
        <v>73</v>
      </c>
      <c r="E2" t="s">
        <v>25</v>
      </c>
      <c r="F2" t="s">
        <v>74</v>
      </c>
      <c r="G2" t="s">
        <v>75</v>
      </c>
      <c r="H2">
        <v>30363</v>
      </c>
      <c r="I2">
        <v>1380</v>
      </c>
      <c r="J2" t="s">
        <v>76</v>
      </c>
      <c r="K2" t="s">
        <v>77</v>
      </c>
      <c r="L2">
        <v>33.792499999999997</v>
      </c>
      <c r="M2">
        <v>-84.396299999999997</v>
      </c>
      <c r="N2" t="s">
        <v>78</v>
      </c>
      <c r="O2">
        <v>150</v>
      </c>
      <c r="P2">
        <v>241.4</v>
      </c>
      <c r="Q2">
        <v>355</v>
      </c>
      <c r="R2" t="s">
        <v>28</v>
      </c>
      <c r="S2" t="s">
        <v>29</v>
      </c>
      <c r="T2" s="2">
        <v>45536.504004629627</v>
      </c>
      <c r="U2" t="s">
        <v>28</v>
      </c>
      <c r="V2" t="s">
        <v>29</v>
      </c>
      <c r="W2" s="2">
        <v>45536.504004629627</v>
      </c>
      <c r="X2" s="2">
        <v>45542.504004629627</v>
      </c>
      <c r="Y2" s="2">
        <v>45541.504004629627</v>
      </c>
      <c r="Z2" t="s">
        <v>22</v>
      </c>
      <c r="AA2" t="s">
        <v>79</v>
      </c>
      <c r="AC2" t="s">
        <v>80</v>
      </c>
      <c r="AE2">
        <v>16</v>
      </c>
      <c r="AF2" t="s">
        <v>29</v>
      </c>
      <c r="AG2" t="s">
        <v>28</v>
      </c>
      <c r="AH2">
        <v>2023</v>
      </c>
      <c r="AI2">
        <v>9</v>
      </c>
      <c r="AJ2" s="4">
        <f t="shared" ref="AJ2:AJ18" si="0">X2</f>
        <v>45542.504004629627</v>
      </c>
      <c r="AK2" s="4">
        <f t="shared" ref="AK2:AK18" si="1">Y2</f>
        <v>45541.504004629627</v>
      </c>
    </row>
    <row r="3" spans="1:37" x14ac:dyDescent="0.25">
      <c r="A3" t="b">
        <v>1</v>
      </c>
      <c r="B3" t="s">
        <v>81</v>
      </c>
      <c r="C3" t="s">
        <v>462</v>
      </c>
      <c r="D3" t="s">
        <v>73</v>
      </c>
      <c r="E3" t="s">
        <v>25</v>
      </c>
      <c r="F3" t="s">
        <v>82</v>
      </c>
      <c r="G3" t="s">
        <v>83</v>
      </c>
      <c r="H3">
        <v>75201</v>
      </c>
      <c r="I3">
        <v>920</v>
      </c>
      <c r="J3" t="s">
        <v>84</v>
      </c>
      <c r="L3">
        <v>32.779699999999998</v>
      </c>
      <c r="M3">
        <v>-96.795000000000002</v>
      </c>
      <c r="N3" t="s">
        <v>85</v>
      </c>
      <c r="R3" t="s">
        <v>28</v>
      </c>
      <c r="S3" t="s">
        <v>29</v>
      </c>
      <c r="T3" s="2">
        <v>45535.504004629627</v>
      </c>
      <c r="U3" t="s">
        <v>28</v>
      </c>
      <c r="V3" t="s">
        <v>29</v>
      </c>
      <c r="W3" s="2">
        <v>45535.504004629627</v>
      </c>
      <c r="X3" s="2">
        <v>45541.504004629627</v>
      </c>
      <c r="Y3" s="2">
        <v>45540.504004629627</v>
      </c>
      <c r="Z3" t="s">
        <v>22</v>
      </c>
      <c r="AA3" t="s">
        <v>86</v>
      </c>
      <c r="AC3" t="s">
        <v>87</v>
      </c>
      <c r="AE3">
        <v>15</v>
      </c>
      <c r="AF3" t="s">
        <v>29</v>
      </c>
      <c r="AG3" t="s">
        <v>28</v>
      </c>
      <c r="AH3">
        <v>2023</v>
      </c>
      <c r="AI3">
        <v>9</v>
      </c>
      <c r="AJ3" s="4">
        <f t="shared" si="0"/>
        <v>45541.504004629627</v>
      </c>
      <c r="AK3" s="4">
        <f t="shared" si="1"/>
        <v>45540.504004629627</v>
      </c>
    </row>
    <row r="4" spans="1:37" x14ac:dyDescent="0.25">
      <c r="A4" t="b">
        <v>1</v>
      </c>
      <c r="B4" t="s">
        <v>88</v>
      </c>
      <c r="C4" t="s">
        <v>462</v>
      </c>
      <c r="D4" t="s">
        <v>73</v>
      </c>
      <c r="E4" t="s">
        <v>25</v>
      </c>
      <c r="F4" t="s">
        <v>89</v>
      </c>
      <c r="G4" t="s">
        <v>90</v>
      </c>
      <c r="H4">
        <v>89109</v>
      </c>
      <c r="I4">
        <v>3355</v>
      </c>
      <c r="J4" t="s">
        <v>91</v>
      </c>
      <c r="L4">
        <v>36.121499999999997</v>
      </c>
      <c r="M4">
        <v>-115.1728</v>
      </c>
      <c r="N4" t="s">
        <v>92</v>
      </c>
      <c r="R4" t="s">
        <v>28</v>
      </c>
      <c r="S4" t="s">
        <v>29</v>
      </c>
      <c r="T4" s="2">
        <v>45534.504004629627</v>
      </c>
      <c r="U4" t="s">
        <v>28</v>
      </c>
      <c r="V4" t="s">
        <v>29</v>
      </c>
      <c r="W4" s="2">
        <v>45534.504004629627</v>
      </c>
      <c r="X4" s="2">
        <v>45540.504004629627</v>
      </c>
      <c r="Y4" s="2">
        <v>45539.504004629627</v>
      </c>
      <c r="Z4" t="s">
        <v>22</v>
      </c>
      <c r="AA4" t="s">
        <v>93</v>
      </c>
      <c r="AC4" t="s">
        <v>87</v>
      </c>
      <c r="AE4">
        <v>14</v>
      </c>
      <c r="AF4" t="s">
        <v>29</v>
      </c>
      <c r="AG4" t="s">
        <v>28</v>
      </c>
      <c r="AH4">
        <v>2023</v>
      </c>
      <c r="AI4">
        <v>9</v>
      </c>
      <c r="AJ4" s="4">
        <f t="shared" si="0"/>
        <v>45540.504004629627</v>
      </c>
      <c r="AK4" s="4">
        <f t="shared" si="1"/>
        <v>45539.504004629627</v>
      </c>
    </row>
    <row r="5" spans="1:37" x14ac:dyDescent="0.25">
      <c r="A5" t="b">
        <v>1</v>
      </c>
      <c r="B5" t="s">
        <v>94</v>
      </c>
      <c r="C5" t="s">
        <v>462</v>
      </c>
      <c r="D5" t="s">
        <v>73</v>
      </c>
      <c r="E5" t="s">
        <v>25</v>
      </c>
      <c r="F5" t="s">
        <v>95</v>
      </c>
      <c r="G5" t="s">
        <v>96</v>
      </c>
      <c r="H5">
        <v>90401</v>
      </c>
      <c r="I5">
        <v>200</v>
      </c>
      <c r="J5" t="s">
        <v>95</v>
      </c>
      <c r="L5">
        <v>34.008600000000001</v>
      </c>
      <c r="M5">
        <v>-118.4953</v>
      </c>
      <c r="N5" t="s">
        <v>97</v>
      </c>
      <c r="R5" t="s">
        <v>28</v>
      </c>
      <c r="S5" t="s">
        <v>29</v>
      </c>
      <c r="T5" s="2">
        <v>45533.504004629627</v>
      </c>
      <c r="U5" t="s">
        <v>28</v>
      </c>
      <c r="V5" t="s">
        <v>29</v>
      </c>
      <c r="W5" s="2">
        <v>45533.504004629627</v>
      </c>
      <c r="X5" s="2">
        <v>45539.504004629627</v>
      </c>
      <c r="Y5" s="2">
        <v>45538.504004629627</v>
      </c>
      <c r="Z5" t="s">
        <v>22</v>
      </c>
      <c r="AA5" t="s">
        <v>98</v>
      </c>
      <c r="AC5" t="s">
        <v>99</v>
      </c>
      <c r="AE5">
        <v>13</v>
      </c>
      <c r="AF5" t="s">
        <v>29</v>
      </c>
      <c r="AG5" t="s">
        <v>28</v>
      </c>
      <c r="AH5">
        <v>2023</v>
      </c>
      <c r="AI5">
        <v>9</v>
      </c>
      <c r="AJ5" s="4">
        <f t="shared" si="0"/>
        <v>45539.504004629627</v>
      </c>
      <c r="AK5" s="4">
        <f t="shared" si="1"/>
        <v>45538.504004629627</v>
      </c>
    </row>
    <row r="6" spans="1:37" x14ac:dyDescent="0.25">
      <c r="A6" t="b">
        <v>1</v>
      </c>
      <c r="B6" t="s">
        <v>100</v>
      </c>
      <c r="C6" t="s">
        <v>462</v>
      </c>
      <c r="D6" t="s">
        <v>73</v>
      </c>
      <c r="E6" t="s">
        <v>25</v>
      </c>
      <c r="F6" t="s">
        <v>101</v>
      </c>
      <c r="G6" t="s">
        <v>102</v>
      </c>
      <c r="H6">
        <v>60611</v>
      </c>
      <c r="I6">
        <v>600</v>
      </c>
      <c r="J6" t="s">
        <v>103</v>
      </c>
      <c r="L6">
        <v>41.8917</v>
      </c>
      <c r="M6">
        <v>-87.609399999999994</v>
      </c>
      <c r="N6" t="s">
        <v>104</v>
      </c>
      <c r="R6" t="s">
        <v>46</v>
      </c>
      <c r="S6" t="s">
        <v>47</v>
      </c>
      <c r="T6" s="2">
        <v>45532.504004629627</v>
      </c>
      <c r="U6" t="s">
        <v>28</v>
      </c>
      <c r="V6" t="s">
        <v>29</v>
      </c>
      <c r="W6" s="2">
        <v>45532.504004629627</v>
      </c>
      <c r="X6" s="2">
        <v>45538.504004629627</v>
      </c>
      <c r="Y6" s="2">
        <v>45537.504004629627</v>
      </c>
      <c r="Z6" t="s">
        <v>22</v>
      </c>
      <c r="AA6" t="s">
        <v>105</v>
      </c>
      <c r="AC6" t="s">
        <v>99</v>
      </c>
      <c r="AE6">
        <v>12</v>
      </c>
      <c r="AF6" t="s">
        <v>47</v>
      </c>
      <c r="AG6" t="s">
        <v>46</v>
      </c>
      <c r="AH6">
        <v>2023</v>
      </c>
      <c r="AI6">
        <v>9</v>
      </c>
      <c r="AJ6" s="4">
        <f t="shared" si="0"/>
        <v>45538.504004629627</v>
      </c>
      <c r="AK6" s="4">
        <f t="shared" si="1"/>
        <v>45537.504004629627</v>
      </c>
    </row>
    <row r="7" spans="1:37" x14ac:dyDescent="0.25">
      <c r="A7" t="b">
        <v>1</v>
      </c>
      <c r="B7" t="s">
        <v>106</v>
      </c>
      <c r="C7" t="s">
        <v>462</v>
      </c>
      <c r="D7" t="s">
        <v>73</v>
      </c>
      <c r="E7" t="s">
        <v>25</v>
      </c>
      <c r="R7" t="s">
        <v>28</v>
      </c>
      <c r="S7" t="s">
        <v>29</v>
      </c>
      <c r="T7" s="2">
        <v>45538.504004629627</v>
      </c>
      <c r="U7" t="s">
        <v>28</v>
      </c>
      <c r="V7" t="s">
        <v>29</v>
      </c>
      <c r="W7" s="2">
        <v>45538.504004629627</v>
      </c>
      <c r="X7" s="2">
        <v>45544.504004629627</v>
      </c>
      <c r="Y7" s="2">
        <v>45543.504004629627</v>
      </c>
      <c r="Z7" t="s">
        <v>22</v>
      </c>
      <c r="AA7" t="s">
        <v>107</v>
      </c>
      <c r="AC7" t="s">
        <v>108</v>
      </c>
      <c r="AE7">
        <v>10</v>
      </c>
      <c r="AF7" t="s">
        <v>29</v>
      </c>
      <c r="AG7" t="s">
        <v>28</v>
      </c>
      <c r="AH7">
        <v>2023</v>
      </c>
      <c r="AI7">
        <v>9</v>
      </c>
      <c r="AJ7" s="4">
        <f t="shared" si="0"/>
        <v>45544.504004629627</v>
      </c>
      <c r="AK7" s="4">
        <f t="shared" si="1"/>
        <v>45543.504004629627</v>
      </c>
    </row>
    <row r="8" spans="1:37" x14ac:dyDescent="0.25">
      <c r="A8" t="b">
        <v>1</v>
      </c>
      <c r="B8" t="s">
        <v>109</v>
      </c>
      <c r="C8" t="s">
        <v>462</v>
      </c>
      <c r="D8" t="s">
        <v>73</v>
      </c>
      <c r="E8" t="s">
        <v>25</v>
      </c>
      <c r="F8" t="s">
        <v>110</v>
      </c>
      <c r="G8" t="s">
        <v>111</v>
      </c>
      <c r="H8">
        <v>10003</v>
      </c>
      <c r="I8">
        <v>10</v>
      </c>
      <c r="J8" t="s">
        <v>112</v>
      </c>
      <c r="L8">
        <v>40.735900000000001</v>
      </c>
      <c r="M8">
        <v>-73.991100000000003</v>
      </c>
      <c r="N8" t="s">
        <v>113</v>
      </c>
      <c r="R8" t="s">
        <v>28</v>
      </c>
      <c r="S8" t="s">
        <v>29</v>
      </c>
      <c r="T8" s="2">
        <v>45536.504004629627</v>
      </c>
      <c r="U8" t="s">
        <v>28</v>
      </c>
      <c r="V8" t="s">
        <v>29</v>
      </c>
      <c r="W8" s="2">
        <v>45536.504004629627</v>
      </c>
      <c r="X8" s="2">
        <v>45542.504004629627</v>
      </c>
      <c r="Y8" s="2">
        <v>45541.504004629627</v>
      </c>
      <c r="Z8" t="s">
        <v>22</v>
      </c>
      <c r="AA8" t="s">
        <v>114</v>
      </c>
      <c r="AC8" t="s">
        <v>80</v>
      </c>
      <c r="AE8">
        <v>8</v>
      </c>
      <c r="AF8" t="s">
        <v>29</v>
      </c>
      <c r="AG8" t="s">
        <v>28</v>
      </c>
      <c r="AH8">
        <v>2023</v>
      </c>
      <c r="AI8">
        <v>9</v>
      </c>
      <c r="AJ8" s="4">
        <f t="shared" si="0"/>
        <v>45542.504004629627</v>
      </c>
      <c r="AK8" s="4">
        <f t="shared" si="1"/>
        <v>45541.504004629627</v>
      </c>
    </row>
    <row r="9" spans="1:37" x14ac:dyDescent="0.25">
      <c r="A9" t="b">
        <v>1</v>
      </c>
      <c r="B9" t="s">
        <v>115</v>
      </c>
      <c r="C9" t="s">
        <v>462</v>
      </c>
      <c r="D9" t="s">
        <v>73</v>
      </c>
      <c r="E9" t="s">
        <v>25</v>
      </c>
      <c r="F9" t="s">
        <v>116</v>
      </c>
      <c r="G9" t="s">
        <v>117</v>
      </c>
      <c r="H9">
        <v>98109</v>
      </c>
      <c r="I9">
        <v>305</v>
      </c>
      <c r="J9" t="s">
        <v>118</v>
      </c>
      <c r="L9">
        <v>47.6205</v>
      </c>
      <c r="M9">
        <v>-122.3493</v>
      </c>
      <c r="N9" t="s">
        <v>119</v>
      </c>
      <c r="R9" t="s">
        <v>28</v>
      </c>
      <c r="S9" t="s">
        <v>29</v>
      </c>
      <c r="T9" s="2">
        <v>45534.504004629627</v>
      </c>
      <c r="U9" t="s">
        <v>28</v>
      </c>
      <c r="V9" t="s">
        <v>29</v>
      </c>
      <c r="W9" s="2">
        <v>45534.504004629627</v>
      </c>
      <c r="X9" s="2">
        <v>45540.504004629627</v>
      </c>
      <c r="Y9" s="2">
        <v>45539.504004629627</v>
      </c>
      <c r="Z9" t="s">
        <v>22</v>
      </c>
      <c r="AA9" t="s">
        <v>120</v>
      </c>
      <c r="AC9" t="s">
        <v>87</v>
      </c>
      <c r="AE9">
        <v>6</v>
      </c>
      <c r="AF9" t="s">
        <v>29</v>
      </c>
      <c r="AG9" t="s">
        <v>28</v>
      </c>
      <c r="AH9">
        <v>2023</v>
      </c>
      <c r="AI9">
        <v>9</v>
      </c>
      <c r="AJ9" s="4">
        <f t="shared" si="0"/>
        <v>45540.504004629627</v>
      </c>
      <c r="AK9" s="4">
        <f t="shared" si="1"/>
        <v>45539.504004629627</v>
      </c>
    </row>
    <row r="10" spans="1:37" x14ac:dyDescent="0.25">
      <c r="A10" t="b">
        <v>1</v>
      </c>
      <c r="B10" t="s">
        <v>121</v>
      </c>
      <c r="C10" t="s">
        <v>462</v>
      </c>
      <c r="D10" t="s">
        <v>73</v>
      </c>
      <c r="E10" t="s">
        <v>25</v>
      </c>
      <c r="F10" t="s">
        <v>122</v>
      </c>
      <c r="G10" t="s">
        <v>123</v>
      </c>
      <c r="H10">
        <v>77010</v>
      </c>
      <c r="I10">
        <v>1500</v>
      </c>
      <c r="J10" t="s">
        <v>124</v>
      </c>
      <c r="L10">
        <v>29.754200000000001</v>
      </c>
      <c r="M10">
        <v>-95.357200000000006</v>
      </c>
      <c r="N10" t="s">
        <v>125</v>
      </c>
      <c r="R10" t="s">
        <v>33</v>
      </c>
      <c r="S10" t="s">
        <v>34</v>
      </c>
      <c r="T10" s="2">
        <v>45533.504004629627</v>
      </c>
      <c r="U10" t="s">
        <v>28</v>
      </c>
      <c r="V10" t="s">
        <v>29</v>
      </c>
      <c r="W10" s="2">
        <v>45533.504004629627</v>
      </c>
      <c r="X10" s="2">
        <v>45539.504004629627</v>
      </c>
      <c r="Y10" s="2">
        <v>45538.504004629627</v>
      </c>
      <c r="Z10" t="s">
        <v>22</v>
      </c>
      <c r="AA10" t="s">
        <v>126</v>
      </c>
      <c r="AC10" t="s">
        <v>99</v>
      </c>
      <c r="AE10">
        <v>5</v>
      </c>
      <c r="AF10" t="s">
        <v>34</v>
      </c>
      <c r="AG10" t="s">
        <v>33</v>
      </c>
      <c r="AH10">
        <v>2023</v>
      </c>
      <c r="AI10">
        <v>9</v>
      </c>
      <c r="AJ10" s="4">
        <f t="shared" si="0"/>
        <v>45539.504004629627</v>
      </c>
      <c r="AK10" s="4">
        <f t="shared" si="1"/>
        <v>45538.504004629627</v>
      </c>
    </row>
    <row r="11" spans="1:37" x14ac:dyDescent="0.25">
      <c r="A11" t="b">
        <v>1</v>
      </c>
      <c r="B11" t="s">
        <v>464</v>
      </c>
      <c r="C11" t="s">
        <v>463</v>
      </c>
      <c r="D11" t="s">
        <v>73</v>
      </c>
      <c r="E11" t="s">
        <v>25</v>
      </c>
      <c r="F11" t="s">
        <v>128</v>
      </c>
      <c r="G11" t="s">
        <v>83</v>
      </c>
      <c r="H11">
        <v>75201</v>
      </c>
      <c r="I11">
        <v>2012</v>
      </c>
      <c r="J11" t="s">
        <v>129</v>
      </c>
      <c r="L11">
        <v>32.788499999999999</v>
      </c>
      <c r="M11">
        <v>-96.801400000000001</v>
      </c>
      <c r="N11" t="s">
        <v>85</v>
      </c>
      <c r="R11" t="s">
        <v>37</v>
      </c>
      <c r="S11" t="s">
        <v>38</v>
      </c>
      <c r="T11" s="2">
        <v>45531.504004629627</v>
      </c>
      <c r="U11" t="s">
        <v>28</v>
      </c>
      <c r="V11" t="s">
        <v>29</v>
      </c>
      <c r="W11" s="2">
        <v>45531.504004629627</v>
      </c>
      <c r="X11" s="2">
        <v>45537.504004629627</v>
      </c>
      <c r="Y11" s="2">
        <v>45536.504004629627</v>
      </c>
      <c r="Z11" t="s">
        <v>22</v>
      </c>
      <c r="AA11" t="s">
        <v>130</v>
      </c>
      <c r="AC11" t="s">
        <v>131</v>
      </c>
      <c r="AE11">
        <v>3</v>
      </c>
      <c r="AF11" t="s">
        <v>38</v>
      </c>
      <c r="AG11" t="s">
        <v>37</v>
      </c>
      <c r="AH11">
        <v>2023</v>
      </c>
      <c r="AI11">
        <v>9</v>
      </c>
      <c r="AJ11" s="4">
        <f t="shared" si="0"/>
        <v>45537.504004629627</v>
      </c>
      <c r="AK11" s="4">
        <f t="shared" si="1"/>
        <v>45536.504004629627</v>
      </c>
    </row>
    <row r="12" spans="1:37" x14ac:dyDescent="0.25">
      <c r="A12" t="b">
        <v>1</v>
      </c>
      <c r="B12" t="s">
        <v>465</v>
      </c>
      <c r="C12" t="s">
        <v>463</v>
      </c>
      <c r="D12" t="s">
        <v>73</v>
      </c>
      <c r="E12" t="s">
        <v>25</v>
      </c>
      <c r="R12" t="s">
        <v>28</v>
      </c>
      <c r="S12" t="s">
        <v>29</v>
      </c>
      <c r="T12" s="2">
        <v>45529.504004629627</v>
      </c>
      <c r="U12" t="s">
        <v>28</v>
      </c>
      <c r="V12" t="s">
        <v>29</v>
      </c>
      <c r="W12" s="2">
        <v>45529.504004629627</v>
      </c>
      <c r="X12" s="2">
        <v>45535.504004629627</v>
      </c>
      <c r="Y12" s="2">
        <v>45534.504004629627</v>
      </c>
      <c r="Z12" t="s">
        <v>22</v>
      </c>
      <c r="AA12" t="s">
        <v>79</v>
      </c>
      <c r="AC12" t="s">
        <v>131</v>
      </c>
      <c r="AE12">
        <v>1</v>
      </c>
      <c r="AF12" t="s">
        <v>29</v>
      </c>
      <c r="AG12" t="s">
        <v>28</v>
      </c>
      <c r="AH12">
        <v>2023</v>
      </c>
      <c r="AI12">
        <v>9</v>
      </c>
      <c r="AJ12" s="4">
        <f t="shared" si="0"/>
        <v>45535.504004629627</v>
      </c>
      <c r="AK12" s="4">
        <f t="shared" si="1"/>
        <v>45534.504004629627</v>
      </c>
    </row>
    <row r="13" spans="1:37" x14ac:dyDescent="0.25">
      <c r="A13" t="b">
        <v>1</v>
      </c>
      <c r="B13" t="s">
        <v>466</v>
      </c>
      <c r="C13" t="s">
        <v>463</v>
      </c>
      <c r="D13" t="s">
        <v>73</v>
      </c>
      <c r="E13" t="s">
        <v>25</v>
      </c>
      <c r="F13" t="s">
        <v>134</v>
      </c>
      <c r="G13" t="s">
        <v>135</v>
      </c>
      <c r="H13">
        <v>90027</v>
      </c>
      <c r="I13">
        <v>4730</v>
      </c>
      <c r="J13" t="s">
        <v>136</v>
      </c>
      <c r="L13">
        <v>34.136600000000001</v>
      </c>
      <c r="M13">
        <v>-118.2942</v>
      </c>
      <c r="N13" t="s">
        <v>97</v>
      </c>
      <c r="R13" t="s">
        <v>46</v>
      </c>
      <c r="S13" t="s">
        <v>47</v>
      </c>
      <c r="T13" s="2">
        <v>45539.504004629627</v>
      </c>
      <c r="U13" t="s">
        <v>28</v>
      </c>
      <c r="V13" t="s">
        <v>29</v>
      </c>
      <c r="W13" s="2">
        <v>45539.504004629627</v>
      </c>
      <c r="X13" s="2">
        <v>45545.504004629627</v>
      </c>
      <c r="Y13" s="2">
        <v>45544.504004629627</v>
      </c>
      <c r="Z13" t="s">
        <v>22</v>
      </c>
      <c r="AA13" t="s">
        <v>137</v>
      </c>
      <c r="AC13" t="s">
        <v>108</v>
      </c>
      <c r="AE13">
        <v>11</v>
      </c>
      <c r="AF13" t="s">
        <v>47</v>
      </c>
      <c r="AG13" t="s">
        <v>46</v>
      </c>
      <c r="AH13">
        <v>2023</v>
      </c>
      <c r="AI13">
        <v>9</v>
      </c>
      <c r="AJ13" s="4">
        <f t="shared" si="0"/>
        <v>45545.504004629627</v>
      </c>
      <c r="AK13" s="4">
        <f t="shared" si="1"/>
        <v>45544.504004629627</v>
      </c>
    </row>
    <row r="14" spans="1:37" x14ac:dyDescent="0.25">
      <c r="A14" t="b">
        <v>1</v>
      </c>
      <c r="B14" t="s">
        <v>467</v>
      </c>
      <c r="C14" t="s">
        <v>463</v>
      </c>
      <c r="D14" t="s">
        <v>73</v>
      </c>
      <c r="E14" t="s">
        <v>25</v>
      </c>
      <c r="F14" t="s">
        <v>139</v>
      </c>
      <c r="G14" t="s">
        <v>140</v>
      </c>
      <c r="H14">
        <v>92101</v>
      </c>
      <c r="I14">
        <v>1549</v>
      </c>
      <c r="J14" t="s">
        <v>141</v>
      </c>
      <c r="L14">
        <v>32.734099999999998</v>
      </c>
      <c r="M14">
        <v>-117.14449999999999</v>
      </c>
      <c r="N14" t="s">
        <v>97</v>
      </c>
      <c r="R14" t="s">
        <v>28</v>
      </c>
      <c r="S14" t="s">
        <v>29</v>
      </c>
      <c r="T14" s="2">
        <v>45537.504004629627</v>
      </c>
      <c r="U14" t="s">
        <v>28</v>
      </c>
      <c r="V14" t="s">
        <v>29</v>
      </c>
      <c r="W14" s="2">
        <v>45537.504004629627</v>
      </c>
      <c r="X14" s="2">
        <v>45543.504004629627</v>
      </c>
      <c r="Y14" s="2">
        <v>45542.504004629627</v>
      </c>
      <c r="Z14" t="s">
        <v>22</v>
      </c>
      <c r="AA14" t="s">
        <v>142</v>
      </c>
      <c r="AC14" t="s">
        <v>80</v>
      </c>
      <c r="AE14">
        <v>9</v>
      </c>
      <c r="AF14" t="s">
        <v>29</v>
      </c>
      <c r="AG14" t="s">
        <v>28</v>
      </c>
      <c r="AH14">
        <v>2023</v>
      </c>
      <c r="AI14">
        <v>9</v>
      </c>
      <c r="AJ14" s="4">
        <f t="shared" si="0"/>
        <v>45543.504004629627</v>
      </c>
      <c r="AK14" s="4">
        <f t="shared" si="1"/>
        <v>45542.504004629627</v>
      </c>
    </row>
    <row r="15" spans="1:37" x14ac:dyDescent="0.25">
      <c r="A15" t="b">
        <v>1</v>
      </c>
      <c r="B15" t="s">
        <v>468</v>
      </c>
      <c r="C15" t="s">
        <v>463</v>
      </c>
      <c r="D15" t="s">
        <v>73</v>
      </c>
      <c r="E15" t="s">
        <v>25</v>
      </c>
      <c r="F15" t="s">
        <v>144</v>
      </c>
      <c r="G15" t="s">
        <v>111</v>
      </c>
      <c r="H15">
        <v>10024</v>
      </c>
      <c r="I15" t="s">
        <v>145</v>
      </c>
      <c r="J15" t="s">
        <v>146</v>
      </c>
      <c r="L15">
        <v>40.771099999999997</v>
      </c>
      <c r="M15">
        <v>-73.974199999999996</v>
      </c>
      <c r="N15" t="s">
        <v>113</v>
      </c>
      <c r="R15" t="s">
        <v>28</v>
      </c>
      <c r="S15" t="s">
        <v>29</v>
      </c>
      <c r="T15" s="2">
        <v>45535.504004629627</v>
      </c>
      <c r="U15" t="s">
        <v>28</v>
      </c>
      <c r="V15" t="s">
        <v>29</v>
      </c>
      <c r="W15" s="2">
        <v>45535.504004629627</v>
      </c>
      <c r="X15" s="2">
        <v>45541.504004629627</v>
      </c>
      <c r="Y15" s="2">
        <v>45540.504004629627</v>
      </c>
      <c r="Z15" t="s">
        <v>22</v>
      </c>
      <c r="AA15" t="s">
        <v>147</v>
      </c>
      <c r="AC15" t="s">
        <v>87</v>
      </c>
      <c r="AE15">
        <v>7</v>
      </c>
      <c r="AF15" t="s">
        <v>29</v>
      </c>
      <c r="AG15" t="s">
        <v>28</v>
      </c>
      <c r="AH15">
        <v>2023</v>
      </c>
      <c r="AI15">
        <v>9</v>
      </c>
      <c r="AJ15" s="4">
        <f t="shared" si="0"/>
        <v>45541.504004629627</v>
      </c>
      <c r="AK15" s="4">
        <f t="shared" si="1"/>
        <v>45540.504004629627</v>
      </c>
    </row>
    <row r="16" spans="1:37" x14ac:dyDescent="0.25">
      <c r="A16" t="b">
        <v>1</v>
      </c>
      <c r="B16" t="s">
        <v>469</v>
      </c>
      <c r="C16" t="s">
        <v>463</v>
      </c>
      <c r="D16" t="s">
        <v>73</v>
      </c>
      <c r="E16" t="s">
        <v>25</v>
      </c>
      <c r="F16" t="s">
        <v>149</v>
      </c>
      <c r="G16" t="s">
        <v>150</v>
      </c>
      <c r="H16">
        <v>94122</v>
      </c>
      <c r="I16">
        <v>501</v>
      </c>
      <c r="J16" t="s">
        <v>151</v>
      </c>
      <c r="L16">
        <v>37.769399999999997</v>
      </c>
      <c r="M16">
        <v>-122.4862</v>
      </c>
      <c r="N16" t="s">
        <v>152</v>
      </c>
      <c r="R16" t="s">
        <v>33</v>
      </c>
      <c r="S16" t="s">
        <v>34</v>
      </c>
      <c r="T16" s="2">
        <v>45532.504004629627</v>
      </c>
      <c r="U16" t="s">
        <v>28</v>
      </c>
      <c r="V16" t="s">
        <v>29</v>
      </c>
      <c r="W16" s="2">
        <v>45532.504004629627</v>
      </c>
      <c r="X16" s="2">
        <v>45538.504004629627</v>
      </c>
      <c r="Y16" s="2">
        <v>45537.504004629627</v>
      </c>
      <c r="Z16" t="s">
        <v>22</v>
      </c>
      <c r="AA16" t="s">
        <v>153</v>
      </c>
      <c r="AC16" t="s">
        <v>99</v>
      </c>
      <c r="AE16">
        <v>4</v>
      </c>
      <c r="AF16" t="s">
        <v>34</v>
      </c>
      <c r="AG16" t="s">
        <v>33</v>
      </c>
      <c r="AH16">
        <v>2023</v>
      </c>
      <c r="AI16">
        <v>9</v>
      </c>
      <c r="AJ16" s="4">
        <f t="shared" si="0"/>
        <v>45538.504004629627</v>
      </c>
      <c r="AK16" s="4">
        <f t="shared" si="1"/>
        <v>45537.504004629627</v>
      </c>
    </row>
    <row r="17" spans="1:37" x14ac:dyDescent="0.25">
      <c r="A17" t="b">
        <v>1</v>
      </c>
      <c r="B17" t="s">
        <v>470</v>
      </c>
      <c r="C17" t="s">
        <v>463</v>
      </c>
      <c r="D17" t="s">
        <v>73</v>
      </c>
      <c r="E17" t="s">
        <v>25</v>
      </c>
      <c r="F17" t="s">
        <v>155</v>
      </c>
      <c r="G17" t="s">
        <v>75</v>
      </c>
      <c r="H17">
        <v>30309</v>
      </c>
      <c r="I17">
        <v>1320</v>
      </c>
      <c r="J17" t="s">
        <v>156</v>
      </c>
      <c r="L17">
        <v>33.7851</v>
      </c>
      <c r="M17">
        <v>-84.374399999999994</v>
      </c>
      <c r="N17" t="s">
        <v>78</v>
      </c>
      <c r="R17" t="s">
        <v>37</v>
      </c>
      <c r="S17" t="s">
        <v>38</v>
      </c>
      <c r="T17" s="2">
        <v>45530.504004629627</v>
      </c>
      <c r="U17" t="s">
        <v>28</v>
      </c>
      <c r="V17" t="s">
        <v>29</v>
      </c>
      <c r="W17" s="2">
        <v>45530.504004629627</v>
      </c>
      <c r="X17" s="2">
        <v>45536.504004629627</v>
      </c>
      <c r="Y17" s="2">
        <v>45535.504004629627</v>
      </c>
      <c r="Z17" t="s">
        <v>22</v>
      </c>
      <c r="AA17" t="s">
        <v>157</v>
      </c>
      <c r="AC17" t="s">
        <v>131</v>
      </c>
      <c r="AE17">
        <v>2</v>
      </c>
      <c r="AF17" t="s">
        <v>38</v>
      </c>
      <c r="AG17" t="s">
        <v>37</v>
      </c>
      <c r="AH17">
        <v>2023</v>
      </c>
      <c r="AI17">
        <v>9</v>
      </c>
      <c r="AJ17" s="4">
        <f t="shared" si="0"/>
        <v>45536.504004629627</v>
      </c>
      <c r="AK17" s="4">
        <f t="shared" si="1"/>
        <v>45535.504004629627</v>
      </c>
    </row>
    <row r="18" spans="1:37" x14ac:dyDescent="0.25">
      <c r="A18" t="b">
        <v>1</v>
      </c>
      <c r="B18" t="s">
        <v>471</v>
      </c>
      <c r="C18" t="s">
        <v>463</v>
      </c>
      <c r="D18" t="s">
        <v>73</v>
      </c>
      <c r="E18" t="s">
        <v>25</v>
      </c>
      <c r="F18" t="s">
        <v>159</v>
      </c>
      <c r="G18" t="s">
        <v>160</v>
      </c>
      <c r="H18">
        <v>78758</v>
      </c>
      <c r="I18">
        <v>11410</v>
      </c>
      <c r="J18" t="s">
        <v>161</v>
      </c>
      <c r="L18">
        <v>30.397500000000001</v>
      </c>
      <c r="M18">
        <v>-97.726299999999995</v>
      </c>
      <c r="N18" t="s">
        <v>162</v>
      </c>
      <c r="R18" t="s">
        <v>28</v>
      </c>
      <c r="S18" t="s">
        <v>29</v>
      </c>
      <c r="T18" s="2">
        <v>45528.504004629627</v>
      </c>
      <c r="U18" t="s">
        <v>28</v>
      </c>
      <c r="V18" t="s">
        <v>29</v>
      </c>
      <c r="W18" s="2">
        <v>45528.504004629627</v>
      </c>
      <c r="X18" s="2">
        <v>45534.504004629627</v>
      </c>
      <c r="Y18" s="2">
        <v>45533.504004629627</v>
      </c>
      <c r="Z18" t="s">
        <v>22</v>
      </c>
      <c r="AA18" t="s">
        <v>163</v>
      </c>
      <c r="AC18" t="s">
        <v>131</v>
      </c>
      <c r="AE18">
        <v>0</v>
      </c>
      <c r="AF18" t="s">
        <v>29</v>
      </c>
      <c r="AG18" t="s">
        <v>28</v>
      </c>
      <c r="AH18">
        <v>2023</v>
      </c>
      <c r="AI18">
        <v>9</v>
      </c>
      <c r="AJ18" s="4">
        <f t="shared" si="0"/>
        <v>45534.504004629627</v>
      </c>
      <c r="AK18" s="4">
        <f t="shared" si="1"/>
        <v>45533.504004629627</v>
      </c>
    </row>
    <row r="19" spans="1:37" x14ac:dyDescent="0.25">
      <c r="A19" t="b">
        <v>1</v>
      </c>
      <c r="B19" t="s">
        <v>465</v>
      </c>
      <c r="C19" t="s">
        <v>463</v>
      </c>
      <c r="D19" t="s">
        <v>73</v>
      </c>
      <c r="E19" t="s">
        <v>25</v>
      </c>
      <c r="F19" t="s">
        <v>164</v>
      </c>
      <c r="G19" t="s">
        <v>165</v>
      </c>
      <c r="H19">
        <v>20024</v>
      </c>
      <c r="I19">
        <v>1100</v>
      </c>
      <c r="J19" t="s">
        <v>166</v>
      </c>
      <c r="L19">
        <v>38.881599999999999</v>
      </c>
      <c r="M19">
        <v>-77.029700000000005</v>
      </c>
      <c r="N19" t="s">
        <v>167</v>
      </c>
      <c r="R19" t="s">
        <v>28</v>
      </c>
      <c r="S19" t="s">
        <v>29</v>
      </c>
      <c r="T19" s="2">
        <v>45528.504004629627</v>
      </c>
      <c r="U19" t="s">
        <v>28</v>
      </c>
      <c r="V19" t="s">
        <v>29</v>
      </c>
      <c r="W19" s="2">
        <v>45528.504004629627</v>
      </c>
      <c r="X19" s="2">
        <v>45534.504004629627</v>
      </c>
      <c r="Y19" s="2">
        <v>45533.504004629627</v>
      </c>
      <c r="Z19" t="s">
        <v>22</v>
      </c>
      <c r="AA19" t="s">
        <v>163</v>
      </c>
      <c r="AC19" t="s">
        <v>131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97BF-86BF-49F6-A0E8-50690D4D0FD7}">
  <dimension ref="A1:AI19"/>
  <sheetViews>
    <sheetView workbookViewId="0">
      <selection activeCell="E15" sqref="A1:AI19"/>
    </sheetView>
  </sheetViews>
  <sheetFormatPr defaultRowHeight="15" x14ac:dyDescent="0.25"/>
  <cols>
    <col min="2" max="3" width="23.140625" bestFit="1" customWidth="1"/>
    <col min="5" max="5" width="12.42578125" bestFit="1" customWidth="1"/>
    <col min="7" max="7" width="14" customWidth="1"/>
    <col min="9" max="9" width="11.5703125" customWidth="1"/>
    <col min="10" max="10" width="10.42578125" customWidth="1"/>
    <col min="11" max="12" width="11.42578125" customWidth="1"/>
    <col min="13" max="13" width="10.5703125" customWidth="1"/>
    <col min="14" max="14" width="12.140625" customWidth="1"/>
    <col min="15" max="15" width="19" customWidth="1"/>
    <col min="16" max="16" width="23.42578125" customWidth="1"/>
    <col min="17" max="17" width="24.140625" customWidth="1"/>
    <col min="18" max="18" width="23.5703125" customWidth="1"/>
    <col min="19" max="19" width="17.42578125" customWidth="1"/>
    <col min="20" max="20" width="12.5703125" customWidth="1"/>
    <col min="21" max="21" width="15.5703125" bestFit="1" customWidth="1"/>
    <col min="22" max="22" width="18.140625" customWidth="1"/>
    <col min="23" max="23" width="12.85546875" customWidth="1"/>
    <col min="24" max="24" width="15.5703125" bestFit="1" customWidth="1"/>
    <col min="25" max="25" width="16.85546875" customWidth="1"/>
    <col min="26" max="26" width="16" customWidth="1"/>
    <col min="27" max="27" width="14.7109375" customWidth="1"/>
    <col min="28" max="28" width="13.5703125" customWidth="1"/>
    <col min="29" max="29" width="13.7109375" customWidth="1"/>
    <col min="32" max="32" width="14.28515625" customWidth="1"/>
    <col min="35" max="35" width="17.140625" customWidth="1"/>
    <col min="36" max="36" width="16.28515625" customWidth="1"/>
  </cols>
  <sheetData>
    <row r="1" spans="1:35" x14ac:dyDescent="0.25">
      <c r="A1" t="s">
        <v>32</v>
      </c>
      <c r="B1" t="s">
        <v>0</v>
      </c>
      <c r="C1" t="s">
        <v>482</v>
      </c>
      <c r="D1" t="s">
        <v>54</v>
      </c>
      <c r="E1" t="s">
        <v>5</v>
      </c>
      <c r="F1" t="s">
        <v>432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13</v>
      </c>
      <c r="T1" t="s">
        <v>14</v>
      </c>
      <c r="U1" t="s">
        <v>15</v>
      </c>
      <c r="V1" t="s">
        <v>433</v>
      </c>
      <c r="W1" t="s">
        <v>434</v>
      </c>
      <c r="X1" t="s">
        <v>435</v>
      </c>
      <c r="Y1" t="s">
        <v>436</v>
      </c>
      <c r="Z1" t="s">
        <v>437</v>
      </c>
      <c r="AA1" t="s">
        <v>438</v>
      </c>
      <c r="AB1" t="s">
        <v>439</v>
      </c>
      <c r="AC1" t="s">
        <v>4</v>
      </c>
      <c r="AD1" t="s">
        <v>442</v>
      </c>
      <c r="AE1" t="s">
        <v>443</v>
      </c>
      <c r="AF1" t="s">
        <v>18</v>
      </c>
      <c r="AG1" t="s">
        <v>19</v>
      </c>
      <c r="AH1" t="s">
        <v>444</v>
      </c>
      <c r="AI1" t="s">
        <v>445</v>
      </c>
    </row>
    <row r="2" spans="1:35" x14ac:dyDescent="0.25">
      <c r="A2" t="b">
        <v>1</v>
      </c>
      <c r="B2" t="s">
        <v>72</v>
      </c>
      <c r="C2" t="str">
        <f>LEFT(tblActivations[[#This Row],[Id]],LEN(tblActivations[[#This Row],[Id]])-3)</f>
        <v>MONY2308291448VER</v>
      </c>
      <c r="D2" t="s">
        <v>73</v>
      </c>
      <c r="E2" t="s">
        <v>25</v>
      </c>
      <c r="F2" t="s">
        <v>74</v>
      </c>
      <c r="G2" t="s">
        <v>75</v>
      </c>
      <c r="H2">
        <v>30363</v>
      </c>
      <c r="I2">
        <v>1380</v>
      </c>
      <c r="J2" t="s">
        <v>76</v>
      </c>
      <c r="K2" t="s">
        <v>77</v>
      </c>
      <c r="L2">
        <v>33.792499999999997</v>
      </c>
      <c r="M2">
        <v>-84.396299999999997</v>
      </c>
      <c r="N2" t="s">
        <v>78</v>
      </c>
      <c r="O2">
        <v>150</v>
      </c>
      <c r="P2">
        <v>241.4</v>
      </c>
      <c r="Q2">
        <v>355</v>
      </c>
      <c r="R2" t="s">
        <v>28</v>
      </c>
      <c r="S2" t="s">
        <v>29</v>
      </c>
      <c r="T2" s="1">
        <v>45536.504004629627</v>
      </c>
      <c r="U2" t="s">
        <v>28</v>
      </c>
      <c r="V2" t="s">
        <v>29</v>
      </c>
      <c r="W2" s="1">
        <v>45536.504004629627</v>
      </c>
      <c r="X2" s="1">
        <v>45542.504004629627</v>
      </c>
      <c r="Y2" s="1">
        <v>45541.504004629627</v>
      </c>
      <c r="Z2" t="s">
        <v>22</v>
      </c>
      <c r="AA2" t="s">
        <v>79</v>
      </c>
      <c r="AD2" t="s">
        <v>29</v>
      </c>
      <c r="AE2" t="s">
        <v>28</v>
      </c>
      <c r="AF2">
        <v>2023</v>
      </c>
      <c r="AG2">
        <v>9</v>
      </c>
      <c r="AH2" s="4" t="str">
        <f t="shared" ref="AH2:AH19" si="0">V2</f>
        <v>Luis.Bustos@momentumww.com</v>
      </c>
      <c r="AI2" s="4">
        <f t="shared" ref="AI2:AI19" si="1">W2</f>
        <v>45536.504004629627</v>
      </c>
    </row>
    <row r="3" spans="1:35" x14ac:dyDescent="0.25">
      <c r="A3" t="b">
        <v>1</v>
      </c>
      <c r="B3" t="s">
        <v>81</v>
      </c>
      <c r="C3" t="str">
        <f>LEFT(tblActivations[[#This Row],[Id]],LEN(tblActivations[[#This Row],[Id]])-3)</f>
        <v>MONY2308291448VER</v>
      </c>
      <c r="D3" t="s">
        <v>73</v>
      </c>
      <c r="E3" t="s">
        <v>25</v>
      </c>
      <c r="F3" t="s">
        <v>82</v>
      </c>
      <c r="G3" t="s">
        <v>83</v>
      </c>
      <c r="H3">
        <v>75201</v>
      </c>
      <c r="I3">
        <v>920</v>
      </c>
      <c r="J3" t="s">
        <v>84</v>
      </c>
      <c r="L3">
        <v>32.779699999999998</v>
      </c>
      <c r="M3">
        <v>-96.795000000000002</v>
      </c>
      <c r="N3" t="s">
        <v>85</v>
      </c>
      <c r="R3" t="s">
        <v>28</v>
      </c>
      <c r="S3" t="s">
        <v>29</v>
      </c>
      <c r="T3" s="1">
        <v>45535.504004629627</v>
      </c>
      <c r="U3" t="s">
        <v>28</v>
      </c>
      <c r="V3" t="s">
        <v>29</v>
      </c>
      <c r="W3" s="1">
        <v>45535.504004629627</v>
      </c>
      <c r="X3" s="1">
        <v>45541.504004629627</v>
      </c>
      <c r="Y3" s="1">
        <v>45540.504004629627</v>
      </c>
      <c r="Z3" t="s">
        <v>22</v>
      </c>
      <c r="AA3" t="s">
        <v>86</v>
      </c>
      <c r="AD3" t="s">
        <v>29</v>
      </c>
      <c r="AE3" t="s">
        <v>28</v>
      </c>
      <c r="AF3">
        <v>2023</v>
      </c>
      <c r="AG3">
        <v>9</v>
      </c>
      <c r="AH3" s="4" t="str">
        <f t="shared" si="0"/>
        <v>Luis.Bustos@momentumww.com</v>
      </c>
      <c r="AI3" s="4">
        <f t="shared" si="1"/>
        <v>45535.504004629627</v>
      </c>
    </row>
    <row r="4" spans="1:35" x14ac:dyDescent="0.25">
      <c r="A4" t="b">
        <v>1</v>
      </c>
      <c r="B4" t="s">
        <v>88</v>
      </c>
      <c r="C4" t="str">
        <f>LEFT(tblActivations[[#This Row],[Id]],LEN(tblActivations[[#This Row],[Id]])-3)</f>
        <v>MONY2308241537VER</v>
      </c>
      <c r="D4" t="s">
        <v>73</v>
      </c>
      <c r="E4" t="s">
        <v>25</v>
      </c>
      <c r="F4" t="s">
        <v>89</v>
      </c>
      <c r="G4" t="s">
        <v>90</v>
      </c>
      <c r="H4">
        <v>89109</v>
      </c>
      <c r="I4">
        <v>3355</v>
      </c>
      <c r="J4" t="s">
        <v>91</v>
      </c>
      <c r="L4">
        <v>36.121499999999997</v>
      </c>
      <c r="M4">
        <v>-115.1728</v>
      </c>
      <c r="N4" t="s">
        <v>92</v>
      </c>
      <c r="R4" t="s">
        <v>28</v>
      </c>
      <c r="S4" t="s">
        <v>29</v>
      </c>
      <c r="T4" s="1">
        <v>45534.504004629627</v>
      </c>
      <c r="U4" t="s">
        <v>28</v>
      </c>
      <c r="V4" t="s">
        <v>29</v>
      </c>
      <c r="W4" s="1">
        <v>45534.504004629627</v>
      </c>
      <c r="X4" s="1">
        <v>45540.504004629627</v>
      </c>
      <c r="Y4" s="1">
        <v>45539.504004629627</v>
      </c>
      <c r="Z4" t="s">
        <v>22</v>
      </c>
      <c r="AA4" t="s">
        <v>93</v>
      </c>
      <c r="AD4" t="s">
        <v>29</v>
      </c>
      <c r="AE4" t="s">
        <v>28</v>
      </c>
      <c r="AF4">
        <v>2023</v>
      </c>
      <c r="AG4">
        <v>9</v>
      </c>
      <c r="AH4" s="4" t="str">
        <f t="shared" si="0"/>
        <v>Luis.Bustos@momentumww.com</v>
      </c>
      <c r="AI4" s="4">
        <f t="shared" si="1"/>
        <v>45534.504004629627</v>
      </c>
    </row>
    <row r="5" spans="1:35" x14ac:dyDescent="0.25">
      <c r="A5" t="b">
        <v>1</v>
      </c>
      <c r="B5" t="s">
        <v>94</v>
      </c>
      <c r="C5" t="str">
        <f>LEFT(tblActivations[[#This Row],[Id]],LEN(tblActivations[[#This Row],[Id]])-3)</f>
        <v>MONY2308241537VER</v>
      </c>
      <c r="D5" t="s">
        <v>73</v>
      </c>
      <c r="E5" t="s">
        <v>25</v>
      </c>
      <c r="F5" t="s">
        <v>95</v>
      </c>
      <c r="G5" t="s">
        <v>96</v>
      </c>
      <c r="H5">
        <v>90401</v>
      </c>
      <c r="I5">
        <v>200</v>
      </c>
      <c r="J5" t="s">
        <v>95</v>
      </c>
      <c r="L5">
        <v>34.008600000000001</v>
      </c>
      <c r="M5">
        <v>-118.4953</v>
      </c>
      <c r="N5" t="s">
        <v>97</v>
      </c>
      <c r="R5" t="s">
        <v>28</v>
      </c>
      <c r="S5" t="s">
        <v>29</v>
      </c>
      <c r="T5" s="1">
        <v>45533.504004629627</v>
      </c>
      <c r="U5" t="s">
        <v>28</v>
      </c>
      <c r="V5" t="s">
        <v>29</v>
      </c>
      <c r="W5" s="1">
        <v>45533.504004629627</v>
      </c>
      <c r="X5" s="1">
        <v>45539.504004629627</v>
      </c>
      <c r="Y5" s="1">
        <v>45538.504004629627</v>
      </c>
      <c r="Z5" t="s">
        <v>22</v>
      </c>
      <c r="AA5" t="s">
        <v>98</v>
      </c>
      <c r="AD5" t="s">
        <v>29</v>
      </c>
      <c r="AE5" t="s">
        <v>28</v>
      </c>
      <c r="AF5">
        <v>2023</v>
      </c>
      <c r="AG5">
        <v>9</v>
      </c>
      <c r="AH5" s="4" t="str">
        <f t="shared" si="0"/>
        <v>Luis.Bustos@momentumww.com</v>
      </c>
      <c r="AI5" s="4">
        <f t="shared" si="1"/>
        <v>45533.504004629627</v>
      </c>
    </row>
    <row r="6" spans="1:35" x14ac:dyDescent="0.25">
      <c r="A6" t="b">
        <v>1</v>
      </c>
      <c r="B6" t="s">
        <v>100</v>
      </c>
      <c r="C6" t="str">
        <f>LEFT(tblActivations[[#This Row],[Id]],LEN(tblActivations[[#This Row],[Id]])-3)</f>
        <v>MONY2308241537VER</v>
      </c>
      <c r="D6" t="s">
        <v>73</v>
      </c>
      <c r="E6" t="s">
        <v>25</v>
      </c>
      <c r="F6" t="s">
        <v>101</v>
      </c>
      <c r="G6" t="s">
        <v>102</v>
      </c>
      <c r="H6">
        <v>60611</v>
      </c>
      <c r="I6">
        <v>600</v>
      </c>
      <c r="J6" t="s">
        <v>103</v>
      </c>
      <c r="L6">
        <v>41.8917</v>
      </c>
      <c r="M6">
        <v>-87.609399999999994</v>
      </c>
      <c r="N6" t="s">
        <v>104</v>
      </c>
      <c r="R6" t="s">
        <v>46</v>
      </c>
      <c r="S6" t="s">
        <v>47</v>
      </c>
      <c r="T6" s="1">
        <v>45532.504004629627</v>
      </c>
      <c r="U6" t="s">
        <v>28</v>
      </c>
      <c r="V6" t="s">
        <v>29</v>
      </c>
      <c r="W6" s="1">
        <v>45532.504004629627</v>
      </c>
      <c r="X6" s="1">
        <v>45538.504004629627</v>
      </c>
      <c r="Y6" s="1">
        <v>45537.504004629627</v>
      </c>
      <c r="Z6" t="s">
        <v>22</v>
      </c>
      <c r="AA6" t="s">
        <v>105</v>
      </c>
      <c r="AD6" t="s">
        <v>47</v>
      </c>
      <c r="AE6" t="s">
        <v>46</v>
      </c>
      <c r="AF6">
        <v>2023</v>
      </c>
      <c r="AG6">
        <v>9</v>
      </c>
      <c r="AH6" s="4" t="str">
        <f t="shared" si="0"/>
        <v>Luis.Bustos@momentumww.com</v>
      </c>
      <c r="AI6" s="4">
        <f t="shared" si="1"/>
        <v>45532.504004629627</v>
      </c>
    </row>
    <row r="7" spans="1:35" x14ac:dyDescent="0.25">
      <c r="A7" t="b">
        <v>1</v>
      </c>
      <c r="B7" t="s">
        <v>106</v>
      </c>
      <c r="C7" t="str">
        <f>LEFT(tblActivations[[#This Row],[Id]],LEN(tblActivations[[#This Row],[Id]])-3)</f>
        <v>MONY2308241448VER</v>
      </c>
      <c r="D7" t="s">
        <v>73</v>
      </c>
      <c r="E7" t="s">
        <v>25</v>
      </c>
      <c r="R7" t="s">
        <v>28</v>
      </c>
      <c r="S7" t="s">
        <v>29</v>
      </c>
      <c r="T7" s="1">
        <v>45538.504004629627</v>
      </c>
      <c r="U7" t="s">
        <v>28</v>
      </c>
      <c r="V7" t="s">
        <v>29</v>
      </c>
      <c r="W7" s="1">
        <v>45538.504004629627</v>
      </c>
      <c r="X7" s="1">
        <v>45544.504004629627</v>
      </c>
      <c r="Y7" s="1">
        <v>45543.504004629627</v>
      </c>
      <c r="Z7" t="s">
        <v>22</v>
      </c>
      <c r="AA7" t="s">
        <v>107</v>
      </c>
      <c r="AD7" t="s">
        <v>29</v>
      </c>
      <c r="AE7" t="s">
        <v>28</v>
      </c>
      <c r="AF7">
        <v>2023</v>
      </c>
      <c r="AG7">
        <v>9</v>
      </c>
      <c r="AH7" s="4" t="str">
        <f t="shared" si="0"/>
        <v>Luis.Bustos@momentumww.com</v>
      </c>
      <c r="AI7" s="4">
        <f t="shared" si="1"/>
        <v>45538.504004629627</v>
      </c>
    </row>
    <row r="8" spans="1:35" x14ac:dyDescent="0.25">
      <c r="A8" t="b">
        <v>1</v>
      </c>
      <c r="B8" t="s">
        <v>109</v>
      </c>
      <c r="C8" t="str">
        <f>LEFT(tblActivations[[#This Row],[Id]],LEN(tblActivations[[#This Row],[Id]])-3)</f>
        <v>MONY2308241448VER</v>
      </c>
      <c r="D8" t="s">
        <v>73</v>
      </c>
      <c r="E8" t="s">
        <v>25</v>
      </c>
      <c r="F8" t="s">
        <v>110</v>
      </c>
      <c r="G8" t="s">
        <v>111</v>
      </c>
      <c r="H8">
        <v>10003</v>
      </c>
      <c r="I8">
        <v>10</v>
      </c>
      <c r="J8" t="s">
        <v>112</v>
      </c>
      <c r="L8">
        <v>40.735900000000001</v>
      </c>
      <c r="M8">
        <v>-73.991100000000003</v>
      </c>
      <c r="N8" t="s">
        <v>113</v>
      </c>
      <c r="R8" t="s">
        <v>28</v>
      </c>
      <c r="S8" t="s">
        <v>29</v>
      </c>
      <c r="T8" s="1">
        <v>45536.504004629627</v>
      </c>
      <c r="U8" t="s">
        <v>28</v>
      </c>
      <c r="V8" t="s">
        <v>29</v>
      </c>
      <c r="W8" s="1">
        <v>45536.504004629627</v>
      </c>
      <c r="X8" s="1">
        <v>45542.504004629627</v>
      </c>
      <c r="Y8" s="1">
        <v>45541.504004629627</v>
      </c>
      <c r="Z8" t="s">
        <v>22</v>
      </c>
      <c r="AA8" t="s">
        <v>114</v>
      </c>
      <c r="AD8" t="s">
        <v>29</v>
      </c>
      <c r="AE8" t="s">
        <v>28</v>
      </c>
      <c r="AF8">
        <v>2023</v>
      </c>
      <c r="AG8">
        <v>9</v>
      </c>
      <c r="AH8" s="4" t="str">
        <f t="shared" si="0"/>
        <v>Luis.Bustos@momentumww.com</v>
      </c>
      <c r="AI8" s="4">
        <f t="shared" si="1"/>
        <v>45536.504004629627</v>
      </c>
    </row>
    <row r="9" spans="1:35" x14ac:dyDescent="0.25">
      <c r="A9" t="b">
        <v>1</v>
      </c>
      <c r="B9" t="s">
        <v>115</v>
      </c>
      <c r="C9" t="str">
        <f>LEFT(tblActivations[[#This Row],[Id]],LEN(tblActivations[[#This Row],[Id]])-3)</f>
        <v>MONY2308241448VER</v>
      </c>
      <c r="D9" t="s">
        <v>73</v>
      </c>
      <c r="E9" t="s">
        <v>25</v>
      </c>
      <c r="F9" t="s">
        <v>116</v>
      </c>
      <c r="G9" t="s">
        <v>117</v>
      </c>
      <c r="H9">
        <v>98109</v>
      </c>
      <c r="I9">
        <v>305</v>
      </c>
      <c r="J9" t="s">
        <v>118</v>
      </c>
      <c r="L9">
        <v>47.6205</v>
      </c>
      <c r="M9">
        <v>-122.3493</v>
      </c>
      <c r="N9" t="s">
        <v>119</v>
      </c>
      <c r="R9" t="s">
        <v>28</v>
      </c>
      <c r="S9" t="s">
        <v>29</v>
      </c>
      <c r="T9" s="1">
        <v>45534.504004629627</v>
      </c>
      <c r="U9" t="s">
        <v>28</v>
      </c>
      <c r="V9" t="s">
        <v>29</v>
      </c>
      <c r="W9" s="1">
        <v>45534.504004629627</v>
      </c>
      <c r="X9" s="1">
        <v>45540.504004629627</v>
      </c>
      <c r="Y9" s="1">
        <v>45539.504004629627</v>
      </c>
      <c r="Z9" t="s">
        <v>22</v>
      </c>
      <c r="AA9" t="s">
        <v>120</v>
      </c>
      <c r="AD9" t="s">
        <v>29</v>
      </c>
      <c r="AE9" t="s">
        <v>28</v>
      </c>
      <c r="AF9">
        <v>2023</v>
      </c>
      <c r="AG9">
        <v>9</v>
      </c>
      <c r="AH9" s="4" t="str">
        <f t="shared" si="0"/>
        <v>Luis.Bustos@momentumww.com</v>
      </c>
      <c r="AI9" s="4">
        <f t="shared" si="1"/>
        <v>45534.504004629627</v>
      </c>
    </row>
    <row r="10" spans="1:35" x14ac:dyDescent="0.25">
      <c r="A10" t="b">
        <v>1</v>
      </c>
      <c r="B10" t="s">
        <v>121</v>
      </c>
      <c r="C10" t="str">
        <f>LEFT(tblActivations[[#This Row],[Id]],LEN(tblActivations[[#This Row],[Id]])-3)</f>
        <v>MONY2308241448VER</v>
      </c>
      <c r="D10" t="s">
        <v>73</v>
      </c>
      <c r="E10" t="s">
        <v>25</v>
      </c>
      <c r="F10" t="s">
        <v>122</v>
      </c>
      <c r="G10" t="s">
        <v>123</v>
      </c>
      <c r="H10">
        <v>77010</v>
      </c>
      <c r="I10">
        <v>1500</v>
      </c>
      <c r="J10" t="s">
        <v>124</v>
      </c>
      <c r="L10">
        <v>29.754200000000001</v>
      </c>
      <c r="M10">
        <v>-95.357200000000006</v>
      </c>
      <c r="N10" t="s">
        <v>125</v>
      </c>
      <c r="R10" t="s">
        <v>33</v>
      </c>
      <c r="S10" t="s">
        <v>34</v>
      </c>
      <c r="T10" s="1">
        <v>45533.504004629627</v>
      </c>
      <c r="U10" t="s">
        <v>28</v>
      </c>
      <c r="V10" t="s">
        <v>29</v>
      </c>
      <c r="W10" s="1">
        <v>45533.504004629627</v>
      </c>
      <c r="X10" s="1">
        <v>45539.504004629627</v>
      </c>
      <c r="Y10" s="1">
        <v>45538.504004629627</v>
      </c>
      <c r="Z10" t="s">
        <v>22</v>
      </c>
      <c r="AA10" t="s">
        <v>126</v>
      </c>
      <c r="AD10" t="s">
        <v>34</v>
      </c>
      <c r="AE10" t="s">
        <v>33</v>
      </c>
      <c r="AF10">
        <v>2023</v>
      </c>
      <c r="AG10">
        <v>9</v>
      </c>
      <c r="AH10" s="4" t="str">
        <f t="shared" si="0"/>
        <v>Luis.Bustos@momentumww.com</v>
      </c>
      <c r="AI10" s="4">
        <f t="shared" si="1"/>
        <v>45533.504004629627</v>
      </c>
    </row>
    <row r="11" spans="1:35" x14ac:dyDescent="0.25">
      <c r="A11" t="b">
        <v>1</v>
      </c>
      <c r="B11" t="s">
        <v>127</v>
      </c>
      <c r="C11" t="str">
        <f>LEFT(tblActivations[[#This Row],[Id]],LEN(tblActivations[[#This Row],[Id]])-3)</f>
        <v>MONY2308241448VER</v>
      </c>
      <c r="D11" t="s">
        <v>73</v>
      </c>
      <c r="E11" t="s">
        <v>25</v>
      </c>
      <c r="F11" t="s">
        <v>128</v>
      </c>
      <c r="G11" t="s">
        <v>83</v>
      </c>
      <c r="H11">
        <v>75201</v>
      </c>
      <c r="I11">
        <v>2012</v>
      </c>
      <c r="J11" t="s">
        <v>129</v>
      </c>
      <c r="L11">
        <v>32.788499999999999</v>
      </c>
      <c r="M11">
        <v>-96.801400000000001</v>
      </c>
      <c r="N11" t="s">
        <v>85</v>
      </c>
      <c r="R11" t="s">
        <v>37</v>
      </c>
      <c r="S11" t="s">
        <v>38</v>
      </c>
      <c r="T11" s="1">
        <v>45531.504004629627</v>
      </c>
      <c r="U11" t="s">
        <v>28</v>
      </c>
      <c r="V11" t="s">
        <v>29</v>
      </c>
      <c r="W11" s="1">
        <v>45531.504004629627</v>
      </c>
      <c r="X11" s="1">
        <v>45537.504004629627</v>
      </c>
      <c r="Y11" s="1">
        <v>45536.504004629627</v>
      </c>
      <c r="Z11" t="s">
        <v>22</v>
      </c>
      <c r="AA11" t="s">
        <v>130</v>
      </c>
      <c r="AD11" t="s">
        <v>38</v>
      </c>
      <c r="AE11" t="s">
        <v>37</v>
      </c>
      <c r="AF11">
        <v>2023</v>
      </c>
      <c r="AG11">
        <v>9</v>
      </c>
      <c r="AH11" s="4" t="str">
        <f t="shared" si="0"/>
        <v>Luis.Bustos@momentumww.com</v>
      </c>
      <c r="AI11" s="4">
        <f t="shared" si="1"/>
        <v>45531.504004629627</v>
      </c>
    </row>
    <row r="12" spans="1:35" x14ac:dyDescent="0.25">
      <c r="A12" t="b">
        <v>1</v>
      </c>
      <c r="B12" t="s">
        <v>132</v>
      </c>
      <c r="C12" t="str">
        <f>LEFT(tblActivations[[#This Row],[Id]],LEN(tblActivations[[#This Row],[Id]])-3)</f>
        <v>MONY2308241448VER</v>
      </c>
      <c r="D12" t="s">
        <v>73</v>
      </c>
      <c r="E12" t="s">
        <v>25</v>
      </c>
      <c r="R12" t="s">
        <v>28</v>
      </c>
      <c r="S12" t="s">
        <v>29</v>
      </c>
      <c r="T12" s="1">
        <v>45529.504004629627</v>
      </c>
      <c r="U12" t="s">
        <v>28</v>
      </c>
      <c r="V12" t="s">
        <v>29</v>
      </c>
      <c r="W12" s="1">
        <v>45529.504004629627</v>
      </c>
      <c r="X12" s="1">
        <v>45535.504004629627</v>
      </c>
      <c r="Y12" s="1">
        <v>45534.504004629627</v>
      </c>
      <c r="Z12" t="s">
        <v>22</v>
      </c>
      <c r="AA12" t="s">
        <v>79</v>
      </c>
      <c r="AD12" t="s">
        <v>29</v>
      </c>
      <c r="AE12" t="s">
        <v>28</v>
      </c>
      <c r="AF12">
        <v>2023</v>
      </c>
      <c r="AG12">
        <v>9</v>
      </c>
      <c r="AH12" s="4" t="str">
        <f t="shared" si="0"/>
        <v>Luis.Bustos@momentumww.com</v>
      </c>
      <c r="AI12" s="4">
        <f t="shared" si="1"/>
        <v>45529.504004629627</v>
      </c>
    </row>
    <row r="13" spans="1:35" x14ac:dyDescent="0.25">
      <c r="A13" t="b">
        <v>1</v>
      </c>
      <c r="B13" t="s">
        <v>133</v>
      </c>
      <c r="C13" t="str">
        <f>LEFT(tblActivations[[#This Row],[Id]],LEN(tblActivations[[#This Row],[Id]])-3)</f>
        <v>MONY2308241448VER</v>
      </c>
      <c r="D13" t="s">
        <v>73</v>
      </c>
      <c r="E13" t="s">
        <v>25</v>
      </c>
      <c r="F13" t="s">
        <v>134</v>
      </c>
      <c r="G13" t="s">
        <v>135</v>
      </c>
      <c r="H13">
        <v>90027</v>
      </c>
      <c r="I13">
        <v>4730</v>
      </c>
      <c r="J13" t="s">
        <v>136</v>
      </c>
      <c r="L13">
        <v>34.136600000000001</v>
      </c>
      <c r="M13">
        <v>-118.2942</v>
      </c>
      <c r="N13" t="s">
        <v>97</v>
      </c>
      <c r="R13" t="s">
        <v>46</v>
      </c>
      <c r="S13" t="s">
        <v>47</v>
      </c>
      <c r="T13" s="1">
        <v>45539.504004629627</v>
      </c>
      <c r="U13" t="s">
        <v>28</v>
      </c>
      <c r="V13" t="s">
        <v>29</v>
      </c>
      <c r="W13" s="1">
        <v>45539.504004629627</v>
      </c>
      <c r="X13" s="1">
        <v>45545.504004629627</v>
      </c>
      <c r="Y13" s="1">
        <v>45544.504004629627</v>
      </c>
      <c r="Z13" t="s">
        <v>22</v>
      </c>
      <c r="AA13" t="s">
        <v>137</v>
      </c>
      <c r="AD13" t="s">
        <v>47</v>
      </c>
      <c r="AE13" t="s">
        <v>46</v>
      </c>
      <c r="AF13">
        <v>2023</v>
      </c>
      <c r="AG13">
        <v>9</v>
      </c>
      <c r="AH13" s="4" t="str">
        <f t="shared" si="0"/>
        <v>Luis.Bustos@momentumww.com</v>
      </c>
      <c r="AI13" s="4">
        <f t="shared" si="1"/>
        <v>45539.504004629627</v>
      </c>
    </row>
    <row r="14" spans="1:35" x14ac:dyDescent="0.25">
      <c r="A14" t="b">
        <v>1</v>
      </c>
      <c r="B14" t="s">
        <v>138</v>
      </c>
      <c r="C14" t="str">
        <f>LEFT(tblActivations[[#This Row],[Id]],LEN(tblActivations[[#This Row],[Id]])-3)</f>
        <v>MONY2308241448VER</v>
      </c>
      <c r="D14" t="s">
        <v>73</v>
      </c>
      <c r="E14" t="s">
        <v>25</v>
      </c>
      <c r="F14" t="s">
        <v>139</v>
      </c>
      <c r="G14" t="s">
        <v>140</v>
      </c>
      <c r="H14">
        <v>92101</v>
      </c>
      <c r="I14">
        <v>1549</v>
      </c>
      <c r="J14" t="s">
        <v>141</v>
      </c>
      <c r="L14">
        <v>32.734099999999998</v>
      </c>
      <c r="M14">
        <v>-117.14449999999999</v>
      </c>
      <c r="N14" t="s">
        <v>97</v>
      </c>
      <c r="R14" t="s">
        <v>28</v>
      </c>
      <c r="S14" t="s">
        <v>29</v>
      </c>
      <c r="T14" s="1">
        <v>45537.504004629627</v>
      </c>
      <c r="U14" t="s">
        <v>28</v>
      </c>
      <c r="V14" t="s">
        <v>29</v>
      </c>
      <c r="W14" s="1">
        <v>45537.504004629627</v>
      </c>
      <c r="X14" s="1">
        <v>45543.504004629627</v>
      </c>
      <c r="Y14" s="1">
        <v>45542.504004629627</v>
      </c>
      <c r="Z14" t="s">
        <v>22</v>
      </c>
      <c r="AA14" t="s">
        <v>142</v>
      </c>
      <c r="AD14" t="s">
        <v>29</v>
      </c>
      <c r="AE14" t="s">
        <v>28</v>
      </c>
      <c r="AF14">
        <v>2023</v>
      </c>
      <c r="AG14">
        <v>9</v>
      </c>
      <c r="AH14" s="4" t="str">
        <f t="shared" si="0"/>
        <v>Luis.Bustos@momentumww.com</v>
      </c>
      <c r="AI14" s="4">
        <f t="shared" si="1"/>
        <v>45537.504004629627</v>
      </c>
    </row>
    <row r="15" spans="1:35" x14ac:dyDescent="0.25">
      <c r="A15" t="b">
        <v>1</v>
      </c>
      <c r="B15" t="s">
        <v>143</v>
      </c>
      <c r="C15" t="str">
        <f>LEFT(tblActivations[[#This Row],[Id]],LEN(tblActivations[[#This Row],[Id]])-3)</f>
        <v>MONY2308241448VER</v>
      </c>
      <c r="D15" t="s">
        <v>73</v>
      </c>
      <c r="E15" t="s">
        <v>25</v>
      </c>
      <c r="F15" t="s">
        <v>144</v>
      </c>
      <c r="G15" t="s">
        <v>111</v>
      </c>
      <c r="H15">
        <v>10024</v>
      </c>
      <c r="I15" t="s">
        <v>145</v>
      </c>
      <c r="J15" t="s">
        <v>146</v>
      </c>
      <c r="L15">
        <v>40.771099999999997</v>
      </c>
      <c r="M15">
        <v>-73.974199999999996</v>
      </c>
      <c r="N15" t="s">
        <v>113</v>
      </c>
      <c r="R15" t="s">
        <v>28</v>
      </c>
      <c r="S15" t="s">
        <v>29</v>
      </c>
      <c r="T15" s="1">
        <v>45535.504004629627</v>
      </c>
      <c r="U15" t="s">
        <v>28</v>
      </c>
      <c r="V15" t="s">
        <v>29</v>
      </c>
      <c r="W15" s="1">
        <v>45535.504004629627</v>
      </c>
      <c r="X15" s="1">
        <v>45541.504004629627</v>
      </c>
      <c r="Y15" s="1">
        <v>45540.504004629627</v>
      </c>
      <c r="Z15" t="s">
        <v>22</v>
      </c>
      <c r="AA15" t="s">
        <v>147</v>
      </c>
      <c r="AD15" t="s">
        <v>29</v>
      </c>
      <c r="AE15" t="s">
        <v>28</v>
      </c>
      <c r="AF15">
        <v>2023</v>
      </c>
      <c r="AG15">
        <v>9</v>
      </c>
      <c r="AH15" s="4" t="str">
        <f t="shared" si="0"/>
        <v>Luis.Bustos@momentumww.com</v>
      </c>
      <c r="AI15" s="4">
        <f t="shared" si="1"/>
        <v>45535.504004629627</v>
      </c>
    </row>
    <row r="16" spans="1:35" x14ac:dyDescent="0.25">
      <c r="A16" t="b">
        <v>1</v>
      </c>
      <c r="B16" t="s">
        <v>148</v>
      </c>
      <c r="C16" t="str">
        <f>LEFT(tblActivations[[#This Row],[Id]],LEN(tblActivations[[#This Row],[Id]])-3)</f>
        <v>MONY2308241448VER</v>
      </c>
      <c r="D16" t="s">
        <v>73</v>
      </c>
      <c r="E16" t="s">
        <v>25</v>
      </c>
      <c r="F16" t="s">
        <v>149</v>
      </c>
      <c r="G16" t="s">
        <v>150</v>
      </c>
      <c r="H16">
        <v>94122</v>
      </c>
      <c r="I16">
        <v>501</v>
      </c>
      <c r="J16" t="s">
        <v>151</v>
      </c>
      <c r="L16">
        <v>37.769399999999997</v>
      </c>
      <c r="M16">
        <v>-122.4862</v>
      </c>
      <c r="N16" t="s">
        <v>152</v>
      </c>
      <c r="R16" t="s">
        <v>33</v>
      </c>
      <c r="S16" t="s">
        <v>34</v>
      </c>
      <c r="T16" s="1">
        <v>45532.504004629627</v>
      </c>
      <c r="U16" t="s">
        <v>28</v>
      </c>
      <c r="V16" t="s">
        <v>29</v>
      </c>
      <c r="W16" s="1">
        <v>45532.504004629627</v>
      </c>
      <c r="X16" s="1">
        <v>45538.504004629627</v>
      </c>
      <c r="Y16" s="1">
        <v>45537.504004629627</v>
      </c>
      <c r="Z16" t="s">
        <v>22</v>
      </c>
      <c r="AA16" t="s">
        <v>153</v>
      </c>
      <c r="AD16" t="s">
        <v>34</v>
      </c>
      <c r="AE16" t="s">
        <v>33</v>
      </c>
      <c r="AF16">
        <v>2023</v>
      </c>
      <c r="AG16">
        <v>9</v>
      </c>
      <c r="AH16" s="4" t="str">
        <f t="shared" si="0"/>
        <v>Luis.Bustos@momentumww.com</v>
      </c>
      <c r="AI16" s="4">
        <f t="shared" si="1"/>
        <v>45532.504004629627</v>
      </c>
    </row>
    <row r="17" spans="1:35" x14ac:dyDescent="0.25">
      <c r="A17" t="b">
        <v>1</v>
      </c>
      <c r="B17" t="s">
        <v>154</v>
      </c>
      <c r="C17" t="str">
        <f>LEFT(tblActivations[[#This Row],[Id]],LEN(tblActivations[[#This Row],[Id]])-3)</f>
        <v>MONY2308241448VER</v>
      </c>
      <c r="D17" t="s">
        <v>73</v>
      </c>
      <c r="E17" t="s">
        <v>25</v>
      </c>
      <c r="F17" t="s">
        <v>155</v>
      </c>
      <c r="G17" t="s">
        <v>75</v>
      </c>
      <c r="H17">
        <v>30309</v>
      </c>
      <c r="I17">
        <v>1320</v>
      </c>
      <c r="J17" t="s">
        <v>156</v>
      </c>
      <c r="L17">
        <v>33.7851</v>
      </c>
      <c r="M17">
        <v>-84.374399999999994</v>
      </c>
      <c r="N17" t="s">
        <v>78</v>
      </c>
      <c r="R17" t="s">
        <v>37</v>
      </c>
      <c r="S17" t="s">
        <v>38</v>
      </c>
      <c r="T17" s="1">
        <v>45530.504004629627</v>
      </c>
      <c r="U17" t="s">
        <v>28</v>
      </c>
      <c r="V17" t="s">
        <v>29</v>
      </c>
      <c r="W17" s="1">
        <v>45530.504004629627</v>
      </c>
      <c r="X17" s="1">
        <v>45536.504004629627</v>
      </c>
      <c r="Y17" s="1">
        <v>45535.504004629627</v>
      </c>
      <c r="Z17" t="s">
        <v>22</v>
      </c>
      <c r="AA17" t="s">
        <v>157</v>
      </c>
      <c r="AD17" t="s">
        <v>38</v>
      </c>
      <c r="AE17" t="s">
        <v>37</v>
      </c>
      <c r="AF17">
        <v>2023</v>
      </c>
      <c r="AG17">
        <v>9</v>
      </c>
      <c r="AH17" s="4" t="str">
        <f t="shared" si="0"/>
        <v>Luis.Bustos@momentumww.com</v>
      </c>
      <c r="AI17" s="4">
        <f t="shared" si="1"/>
        <v>45530.504004629627</v>
      </c>
    </row>
    <row r="18" spans="1:35" x14ac:dyDescent="0.25">
      <c r="A18" t="b">
        <v>1</v>
      </c>
      <c r="B18" t="s">
        <v>158</v>
      </c>
      <c r="C18" t="str">
        <f>LEFT(tblActivations[[#This Row],[Id]],LEN(tblActivations[[#This Row],[Id]])-3)</f>
        <v>MONY2308241448VER</v>
      </c>
      <c r="D18" t="s">
        <v>73</v>
      </c>
      <c r="E18" t="s">
        <v>25</v>
      </c>
      <c r="F18" t="s">
        <v>159</v>
      </c>
      <c r="G18" t="s">
        <v>160</v>
      </c>
      <c r="H18">
        <v>78758</v>
      </c>
      <c r="I18">
        <v>11410</v>
      </c>
      <c r="J18" t="s">
        <v>161</v>
      </c>
      <c r="L18">
        <v>30.397500000000001</v>
      </c>
      <c r="M18">
        <v>-97.726299999999995</v>
      </c>
      <c r="N18" t="s">
        <v>162</v>
      </c>
      <c r="R18" t="s">
        <v>28</v>
      </c>
      <c r="S18" t="s">
        <v>29</v>
      </c>
      <c r="T18" s="1">
        <v>45528.504004629627</v>
      </c>
      <c r="U18" t="s">
        <v>28</v>
      </c>
      <c r="V18" t="s">
        <v>29</v>
      </c>
      <c r="W18" s="1">
        <v>45528.504004629627</v>
      </c>
      <c r="X18" s="1">
        <v>45534.504004629627</v>
      </c>
      <c r="Y18" s="1">
        <v>45533.504004629627</v>
      </c>
      <c r="Z18" t="s">
        <v>22</v>
      </c>
      <c r="AA18" t="s">
        <v>163</v>
      </c>
      <c r="AD18" t="s">
        <v>29</v>
      </c>
      <c r="AE18" t="s">
        <v>28</v>
      </c>
      <c r="AF18">
        <v>2023</v>
      </c>
      <c r="AG18">
        <v>9</v>
      </c>
      <c r="AH18" s="4" t="str">
        <f t="shared" si="0"/>
        <v>Luis.Bustos@momentumww.com</v>
      </c>
      <c r="AI18" s="4">
        <f t="shared" si="1"/>
        <v>45528.504004629627</v>
      </c>
    </row>
    <row r="19" spans="1:35" x14ac:dyDescent="0.25">
      <c r="A19" t="b">
        <v>1</v>
      </c>
      <c r="B19" t="s">
        <v>132</v>
      </c>
      <c r="C19" t="str">
        <f>LEFT(tblActivations[[#This Row],[Id]],LEN(tblActivations[[#This Row],[Id]])-3)</f>
        <v>MONY2308241448VER</v>
      </c>
      <c r="D19" t="s">
        <v>73</v>
      </c>
      <c r="E19" t="s">
        <v>25</v>
      </c>
      <c r="F19" t="s">
        <v>164</v>
      </c>
      <c r="G19" t="s">
        <v>165</v>
      </c>
      <c r="H19">
        <v>20024</v>
      </c>
      <c r="I19">
        <v>1100</v>
      </c>
      <c r="J19" t="s">
        <v>166</v>
      </c>
      <c r="L19">
        <v>38.881599999999999</v>
      </c>
      <c r="M19">
        <v>-77.029700000000005</v>
      </c>
      <c r="N19" t="s">
        <v>167</v>
      </c>
      <c r="R19" t="s">
        <v>28</v>
      </c>
      <c r="S19" t="s">
        <v>29</v>
      </c>
      <c r="T19" s="1">
        <v>45528.504004629627</v>
      </c>
      <c r="U19" t="s">
        <v>28</v>
      </c>
      <c r="V19" t="s">
        <v>29</v>
      </c>
      <c r="W19" s="1">
        <v>45528.504004629627</v>
      </c>
      <c r="X19" s="1">
        <v>45534.504004629627</v>
      </c>
      <c r="Y19" s="1">
        <v>45533.504004629627</v>
      </c>
      <c r="Z19" t="s">
        <v>22</v>
      </c>
      <c r="AA19" t="s">
        <v>163</v>
      </c>
      <c r="AH19" s="4" t="str">
        <f t="shared" si="0"/>
        <v>Luis.Bustos@momentumww.com</v>
      </c>
      <c r="AI19" s="4">
        <f t="shared" si="1"/>
        <v>45528.504004629627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0C2C-85B7-43D7-858B-47438045A13C}">
  <dimension ref="A1:O2"/>
  <sheetViews>
    <sheetView topLeftCell="G1" workbookViewId="0">
      <selection sqref="A1:O2"/>
    </sheetView>
  </sheetViews>
  <sheetFormatPr defaultRowHeight="15" x14ac:dyDescent="0.25"/>
  <cols>
    <col min="1" max="1" width="23.140625" bestFit="1" customWidth="1"/>
    <col min="2" max="2" width="12.7109375" bestFit="1" customWidth="1"/>
    <col min="3" max="3" width="30.85546875" bestFit="1" customWidth="1"/>
    <col min="4" max="4" width="18.42578125" bestFit="1" customWidth="1"/>
    <col min="5" max="5" width="15.140625" bestFit="1" customWidth="1"/>
    <col min="6" max="6" width="9.42578125" bestFit="1" customWidth="1"/>
    <col min="7" max="7" width="24" bestFit="1" customWidth="1"/>
    <col min="8" max="8" width="24.7109375" bestFit="1" customWidth="1"/>
    <col min="9" max="9" width="24.140625" bestFit="1" customWidth="1"/>
    <col min="10" max="10" width="16.28515625" bestFit="1" customWidth="1"/>
    <col min="11" max="11" width="36.5703125" bestFit="1" customWidth="1"/>
    <col min="12" max="12" width="33.140625" bestFit="1" customWidth="1"/>
    <col min="13" max="13" width="19" bestFit="1" customWidth="1"/>
    <col min="14" max="14" width="31" bestFit="1" customWidth="1"/>
    <col min="15" max="15" width="15.5703125" bestFit="1" customWidth="1"/>
  </cols>
  <sheetData>
    <row r="1" spans="1:15" x14ac:dyDescent="0.25">
      <c r="A1" t="s">
        <v>487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63</v>
      </c>
      <c r="H1" t="s">
        <v>64</v>
      </c>
      <c r="I1" t="s">
        <v>65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</row>
    <row r="2" spans="1:15" x14ac:dyDescent="0.25">
      <c r="A2" t="s">
        <v>81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>
        <v>150</v>
      </c>
      <c r="H2">
        <v>241.4</v>
      </c>
      <c r="I2">
        <v>355</v>
      </c>
      <c r="J2" t="s">
        <v>37</v>
      </c>
      <c r="K2" t="s">
        <v>184</v>
      </c>
      <c r="L2" t="s">
        <v>185</v>
      </c>
      <c r="M2" t="s">
        <v>28</v>
      </c>
      <c r="N2" t="s">
        <v>29</v>
      </c>
      <c r="O2" s="1">
        <v>45495.70671377315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8F3B-031E-417A-ACA0-7D7C845FF489}">
  <dimension ref="A1:AC20"/>
  <sheetViews>
    <sheetView workbookViewId="0">
      <selection activeCell="B19" sqref="A1:AC20"/>
    </sheetView>
  </sheetViews>
  <sheetFormatPr defaultRowHeight="15" x14ac:dyDescent="0.25"/>
  <cols>
    <col min="1" max="1" width="25.85546875" bestFit="1" customWidth="1"/>
    <col min="2" max="2" width="21.85546875" bestFit="1" customWidth="1"/>
    <col min="3" max="3" width="10.85546875" customWidth="1"/>
    <col min="4" max="4" width="11.5703125" customWidth="1"/>
    <col min="5" max="5" width="21.140625" bestFit="1" customWidth="1"/>
    <col min="6" max="7" width="18.28515625" bestFit="1" customWidth="1"/>
    <col min="8" max="8" width="13.140625" customWidth="1"/>
    <col min="9" max="9" width="15.140625" bestFit="1" customWidth="1"/>
    <col min="10" max="10" width="16.42578125" bestFit="1" customWidth="1"/>
    <col min="11" max="11" width="15.140625" bestFit="1" customWidth="1"/>
    <col min="12" max="12" width="7.28515625" bestFit="1" customWidth="1"/>
    <col min="13" max="13" width="7.85546875" bestFit="1" customWidth="1"/>
    <col min="14" max="14" width="13.140625" customWidth="1"/>
    <col min="15" max="15" width="12.42578125" bestFit="1" customWidth="1"/>
    <col min="16" max="16" width="14.85546875" customWidth="1"/>
    <col min="17" max="17" width="12" customWidth="1"/>
    <col min="18" max="18" width="11.5703125" bestFit="1" customWidth="1"/>
    <col min="19" max="19" width="38.7109375" bestFit="1" customWidth="1"/>
    <col min="20" max="20" width="10.5703125" customWidth="1"/>
    <col min="21" max="21" width="12.140625" customWidth="1"/>
    <col min="22" max="22" width="10.42578125" customWidth="1"/>
    <col min="24" max="24" width="9.85546875" customWidth="1"/>
    <col min="25" max="25" width="13.7109375" customWidth="1"/>
    <col min="28" max="28" width="86.42578125" bestFit="1" customWidth="1"/>
    <col min="29" max="29" width="26.42578125" customWidth="1"/>
  </cols>
  <sheetData>
    <row r="1" spans="1:29" x14ac:dyDescent="0.25">
      <c r="A1" t="s">
        <v>0</v>
      </c>
      <c r="B1" t="s">
        <v>186</v>
      </c>
      <c r="C1" t="s">
        <v>187</v>
      </c>
      <c r="D1" t="s">
        <v>188</v>
      </c>
      <c r="E1" t="s">
        <v>189</v>
      </c>
      <c r="F1" t="s">
        <v>70</v>
      </c>
      <c r="G1" t="s">
        <v>71</v>
      </c>
      <c r="H1" t="s">
        <v>190</v>
      </c>
      <c r="I1" t="s">
        <v>191</v>
      </c>
      <c r="J1" t="s">
        <v>192</v>
      </c>
      <c r="K1" t="s">
        <v>193</v>
      </c>
      <c r="L1" t="s">
        <v>55</v>
      </c>
      <c r="M1" t="s">
        <v>194</v>
      </c>
      <c r="N1" t="s">
        <v>195</v>
      </c>
      <c r="O1" t="s">
        <v>196</v>
      </c>
      <c r="P1" t="s">
        <v>197</v>
      </c>
      <c r="Q1" t="s">
        <v>198</v>
      </c>
      <c r="R1" t="s">
        <v>199</v>
      </c>
      <c r="S1" t="s">
        <v>200</v>
      </c>
      <c r="T1" t="s">
        <v>60</v>
      </c>
      <c r="U1" t="s">
        <v>61</v>
      </c>
      <c r="V1" t="s">
        <v>201</v>
      </c>
      <c r="W1" t="s">
        <v>4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</row>
    <row r="2" spans="1:29" x14ac:dyDescent="0.25">
      <c r="A2" t="s">
        <v>208</v>
      </c>
      <c r="B2" t="s">
        <v>48</v>
      </c>
      <c r="C2" t="s">
        <v>209</v>
      </c>
      <c r="D2" t="s">
        <v>210</v>
      </c>
      <c r="E2" t="s">
        <v>74</v>
      </c>
      <c r="F2" s="2">
        <v>45542.504004629627</v>
      </c>
      <c r="G2" s="2">
        <v>45541.504004629627</v>
      </c>
      <c r="H2" t="s">
        <v>211</v>
      </c>
      <c r="I2" t="s">
        <v>212</v>
      </c>
      <c r="J2" t="s">
        <v>213</v>
      </c>
      <c r="K2" t="s">
        <v>212</v>
      </c>
      <c r="L2" t="s">
        <v>75</v>
      </c>
      <c r="M2" t="s">
        <v>214</v>
      </c>
      <c r="N2" t="s">
        <v>215</v>
      </c>
      <c r="O2" t="s">
        <v>73</v>
      </c>
      <c r="P2" t="s">
        <v>216</v>
      </c>
      <c r="Q2">
        <v>30363</v>
      </c>
      <c r="R2" t="s">
        <v>217</v>
      </c>
      <c r="S2" t="s">
        <v>218</v>
      </c>
      <c r="T2">
        <v>33.792749999999998</v>
      </c>
      <c r="U2">
        <v>-84.397989999999993</v>
      </c>
      <c r="AB2" s="3" t="s">
        <v>219</v>
      </c>
      <c r="AC2" s="3"/>
    </row>
    <row r="3" spans="1:29" x14ac:dyDescent="0.25">
      <c r="A3" t="s">
        <v>220</v>
      </c>
      <c r="B3" t="s">
        <v>48</v>
      </c>
      <c r="C3" t="s">
        <v>209</v>
      </c>
      <c r="D3" t="s">
        <v>210</v>
      </c>
      <c r="E3" t="s">
        <v>82</v>
      </c>
      <c r="F3" s="2">
        <v>45541.504004629627</v>
      </c>
      <c r="G3" s="2">
        <v>45540.504004629627</v>
      </c>
      <c r="H3" t="s">
        <v>211</v>
      </c>
      <c r="I3" t="s">
        <v>221</v>
      </c>
      <c r="J3" t="s">
        <v>221</v>
      </c>
      <c r="K3" t="s">
        <v>222</v>
      </c>
      <c r="L3" t="s">
        <v>83</v>
      </c>
      <c r="M3" t="s">
        <v>223</v>
      </c>
      <c r="N3" t="s">
        <v>224</v>
      </c>
      <c r="O3" t="s">
        <v>216</v>
      </c>
      <c r="P3" t="s">
        <v>216</v>
      </c>
      <c r="Q3">
        <v>75201</v>
      </c>
      <c r="R3" t="s">
        <v>225</v>
      </c>
      <c r="S3" t="s">
        <v>226</v>
      </c>
      <c r="T3">
        <v>32.777760253088303</v>
      </c>
      <c r="U3">
        <v>-96.788636911705495</v>
      </c>
    </row>
    <row r="4" spans="1:29" x14ac:dyDescent="0.25">
      <c r="A4" t="s">
        <v>227</v>
      </c>
      <c r="B4" t="s">
        <v>51</v>
      </c>
      <c r="C4" t="s">
        <v>209</v>
      </c>
      <c r="D4" t="s">
        <v>210</v>
      </c>
      <c r="E4" t="s">
        <v>89</v>
      </c>
      <c r="F4" s="2">
        <v>45540.504004629627</v>
      </c>
      <c r="G4" s="2">
        <v>45539.504004629627</v>
      </c>
      <c r="H4" t="s">
        <v>211</v>
      </c>
      <c r="I4" t="s">
        <v>228</v>
      </c>
      <c r="J4" t="s">
        <v>228</v>
      </c>
      <c r="K4" t="s">
        <v>229</v>
      </c>
      <c r="L4" t="s">
        <v>90</v>
      </c>
      <c r="M4" t="s">
        <v>230</v>
      </c>
      <c r="N4" t="s">
        <v>231</v>
      </c>
      <c r="O4" t="s">
        <v>73</v>
      </c>
      <c r="P4" t="s">
        <v>216</v>
      </c>
      <c r="Q4">
        <v>89109</v>
      </c>
      <c r="R4" t="s">
        <v>91</v>
      </c>
      <c r="S4" t="s">
        <v>232</v>
      </c>
      <c r="T4">
        <v>36.119500000000002</v>
      </c>
      <c r="U4">
        <v>-115.16800000000001</v>
      </c>
      <c r="AB4" s="3" t="s">
        <v>233</v>
      </c>
    </row>
    <row r="5" spans="1:29" x14ac:dyDescent="0.25">
      <c r="A5" s="5" t="s">
        <v>234</v>
      </c>
      <c r="B5" t="s">
        <v>51</v>
      </c>
      <c r="C5" t="s">
        <v>209</v>
      </c>
      <c r="D5" t="s">
        <v>210</v>
      </c>
      <c r="E5" t="s">
        <v>95</v>
      </c>
      <c r="F5" s="2">
        <v>45539.504004629627</v>
      </c>
      <c r="G5" s="2">
        <v>45538.504004629627</v>
      </c>
      <c r="H5" t="s">
        <v>211</v>
      </c>
      <c r="I5" t="s">
        <v>235</v>
      </c>
      <c r="J5" t="s">
        <v>236</v>
      </c>
      <c r="K5" t="s">
        <v>237</v>
      </c>
      <c r="L5" t="s">
        <v>96</v>
      </c>
      <c r="M5" t="s">
        <v>238</v>
      </c>
      <c r="N5" t="s">
        <v>239</v>
      </c>
      <c r="O5" t="s">
        <v>73</v>
      </c>
      <c r="P5" t="s">
        <v>216</v>
      </c>
      <c r="Q5">
        <v>90401</v>
      </c>
      <c r="R5" t="s">
        <v>95</v>
      </c>
      <c r="S5" t="s">
        <v>240</v>
      </c>
      <c r="T5">
        <v>34.010100000000001</v>
      </c>
      <c r="U5">
        <v>-118.4969</v>
      </c>
      <c r="AB5" s="3" t="s">
        <v>241</v>
      </c>
    </row>
    <row r="6" spans="1:29" x14ac:dyDescent="0.25">
      <c r="A6" t="s">
        <v>242</v>
      </c>
      <c r="B6" t="s">
        <v>51</v>
      </c>
      <c r="C6" t="s">
        <v>209</v>
      </c>
      <c r="D6" t="s">
        <v>210</v>
      </c>
      <c r="E6" t="s">
        <v>101</v>
      </c>
      <c r="F6" s="2">
        <v>45538.504004629627</v>
      </c>
      <c r="G6" s="2">
        <v>45537.504004629627</v>
      </c>
      <c r="H6" t="s">
        <v>211</v>
      </c>
      <c r="I6" t="s">
        <v>235</v>
      </c>
      <c r="J6" t="s">
        <v>236</v>
      </c>
      <c r="K6" t="s">
        <v>237</v>
      </c>
      <c r="L6" t="s">
        <v>102</v>
      </c>
      <c r="M6" t="s">
        <v>243</v>
      </c>
      <c r="N6" t="s">
        <v>244</v>
      </c>
      <c r="O6" t="s">
        <v>73</v>
      </c>
      <c r="P6" t="s">
        <v>216</v>
      </c>
      <c r="Q6">
        <v>60611</v>
      </c>
      <c r="R6" t="s">
        <v>103</v>
      </c>
      <c r="S6" t="s">
        <v>245</v>
      </c>
      <c r="T6">
        <v>41.892654</v>
      </c>
      <c r="U6">
        <v>-87.610168000000002</v>
      </c>
    </row>
    <row r="7" spans="1:29" x14ac:dyDescent="0.25">
      <c r="B7" t="s">
        <v>21</v>
      </c>
      <c r="C7" t="s">
        <v>209</v>
      </c>
      <c r="D7" t="s">
        <v>246</v>
      </c>
      <c r="F7" s="2">
        <v>45544.504004629627</v>
      </c>
      <c r="G7" s="2">
        <v>45543.504004629627</v>
      </c>
    </row>
    <row r="8" spans="1:29" x14ac:dyDescent="0.25">
      <c r="B8" t="s">
        <v>21</v>
      </c>
      <c r="C8" t="s">
        <v>209</v>
      </c>
      <c r="D8" t="s">
        <v>210</v>
      </c>
      <c r="E8" t="s">
        <v>110</v>
      </c>
      <c r="F8" s="2">
        <v>45542.504004629627</v>
      </c>
      <c r="G8" s="2">
        <v>45541.504004629627</v>
      </c>
    </row>
    <row r="9" spans="1:29" x14ac:dyDescent="0.25">
      <c r="B9" t="s">
        <v>21</v>
      </c>
      <c r="C9" t="s">
        <v>209</v>
      </c>
      <c r="D9" t="s">
        <v>210</v>
      </c>
      <c r="E9" t="s">
        <v>116</v>
      </c>
      <c r="F9" s="2">
        <v>45540.504004629627</v>
      </c>
      <c r="G9" s="2">
        <v>45539.504004629627</v>
      </c>
    </row>
    <row r="10" spans="1:29" x14ac:dyDescent="0.25">
      <c r="B10" t="s">
        <v>21</v>
      </c>
      <c r="C10" t="s">
        <v>209</v>
      </c>
      <c r="D10" t="s">
        <v>210</v>
      </c>
      <c r="E10" t="s">
        <v>122</v>
      </c>
      <c r="F10" s="2">
        <v>45539.504004629627</v>
      </c>
      <c r="G10" s="2">
        <v>45538.504004629627</v>
      </c>
    </row>
    <row r="11" spans="1:29" x14ac:dyDescent="0.25">
      <c r="B11" t="s">
        <v>21</v>
      </c>
      <c r="C11" t="s">
        <v>209</v>
      </c>
      <c r="D11" t="s">
        <v>210</v>
      </c>
      <c r="E11" t="s">
        <v>128</v>
      </c>
      <c r="F11" s="2">
        <v>45537.504004629627</v>
      </c>
      <c r="G11" s="2">
        <v>45536.504004629627</v>
      </c>
    </row>
    <row r="12" spans="1:29" x14ac:dyDescent="0.25">
      <c r="B12" t="s">
        <v>21</v>
      </c>
      <c r="C12" t="s">
        <v>209</v>
      </c>
      <c r="D12" t="s">
        <v>246</v>
      </c>
      <c r="F12" s="2">
        <v>45535.504004629627</v>
      </c>
      <c r="G12" s="2">
        <v>45534.504004629627</v>
      </c>
    </row>
    <row r="13" spans="1:29" x14ac:dyDescent="0.25">
      <c r="B13" t="s">
        <v>21</v>
      </c>
      <c r="C13" t="s">
        <v>209</v>
      </c>
      <c r="D13" t="s">
        <v>210</v>
      </c>
      <c r="E13" t="s">
        <v>134</v>
      </c>
      <c r="F13" s="2">
        <v>45545.504004629627</v>
      </c>
      <c r="G13" s="2">
        <v>45544.504004629627</v>
      </c>
    </row>
    <row r="14" spans="1:29" x14ac:dyDescent="0.25">
      <c r="B14" t="s">
        <v>21</v>
      </c>
      <c r="C14" t="s">
        <v>209</v>
      </c>
      <c r="D14" t="s">
        <v>210</v>
      </c>
      <c r="E14" t="s">
        <v>139</v>
      </c>
      <c r="F14" s="2">
        <v>45543.504004629627</v>
      </c>
      <c r="G14" s="2">
        <v>45542.504004629627</v>
      </c>
    </row>
    <row r="15" spans="1:29" x14ac:dyDescent="0.25">
      <c r="B15" t="s">
        <v>21</v>
      </c>
      <c r="C15" t="s">
        <v>209</v>
      </c>
      <c r="D15" t="s">
        <v>210</v>
      </c>
      <c r="E15" t="s">
        <v>144</v>
      </c>
      <c r="F15" s="2">
        <v>45541.504004629627</v>
      </c>
      <c r="G15" s="2">
        <v>45540.504004629627</v>
      </c>
    </row>
    <row r="16" spans="1:29" x14ac:dyDescent="0.25">
      <c r="B16" t="s">
        <v>21</v>
      </c>
      <c r="C16" t="s">
        <v>209</v>
      </c>
      <c r="D16" t="s">
        <v>210</v>
      </c>
      <c r="E16" t="s">
        <v>149</v>
      </c>
      <c r="F16" s="2">
        <v>45538.504004629627</v>
      </c>
      <c r="G16" s="2">
        <v>45537.504004629627</v>
      </c>
    </row>
    <row r="17" spans="2:7" x14ac:dyDescent="0.25">
      <c r="B17" t="s">
        <v>21</v>
      </c>
      <c r="C17" t="s">
        <v>209</v>
      </c>
      <c r="D17" t="s">
        <v>210</v>
      </c>
      <c r="E17" t="s">
        <v>155</v>
      </c>
      <c r="F17" s="2">
        <v>45536.504004629627</v>
      </c>
      <c r="G17" s="2">
        <v>45535.504004629627</v>
      </c>
    </row>
    <row r="18" spans="2:7" x14ac:dyDescent="0.25">
      <c r="B18" t="s">
        <v>21</v>
      </c>
      <c r="C18" t="s">
        <v>209</v>
      </c>
      <c r="D18" t="s">
        <v>210</v>
      </c>
      <c r="E18" t="s">
        <v>159</v>
      </c>
      <c r="F18" s="2">
        <v>45534.504004629627</v>
      </c>
      <c r="G18" s="2">
        <v>45533.504004629627</v>
      </c>
    </row>
    <row r="19" spans="2:7" x14ac:dyDescent="0.25">
      <c r="B19" t="s">
        <v>21</v>
      </c>
      <c r="C19" t="s">
        <v>209</v>
      </c>
      <c r="D19" t="s">
        <v>210</v>
      </c>
      <c r="E19" t="s">
        <v>164</v>
      </c>
      <c r="F19" s="2">
        <v>45534.504004629627</v>
      </c>
      <c r="G19" s="2">
        <v>45533.504004629627</v>
      </c>
    </row>
    <row r="20" spans="2:7" x14ac:dyDescent="0.25">
      <c r="C20" t="s">
        <v>486</v>
      </c>
      <c r="F20" s="2"/>
      <c r="G20" s="2"/>
    </row>
  </sheetData>
  <hyperlinks>
    <hyperlink ref="AB2" r:id="rId1" location="!/admin/insights/complexes/5d03b5847afe4d3b4978556c/overview" xr:uid="{33FC8448-188A-4E9C-B424-2F4AD2982DFA}"/>
    <hyperlink ref="AB4" r:id="rId2" location="!/admin/insights/complexes/5948c00a173f56402f9dab5e/overview" xr:uid="{EB031440-AA68-412D-A313-9125DAF2BF8B}"/>
    <hyperlink ref="AB5" r:id="rId3" location="!/admin/insights/complexes/5e2820667afe4d772a44357d/overview" xr:uid="{27A278C6-0FC2-4D09-BCE5-3BD08130F1E1}"/>
  </hyperlinks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C001-69A7-4B88-B9D1-29EE399C10E0}">
  <dimension ref="A1:L3"/>
  <sheetViews>
    <sheetView workbookViewId="0">
      <selection activeCell="C1" sqref="A1:L3"/>
    </sheetView>
  </sheetViews>
  <sheetFormatPr defaultRowHeight="15" x14ac:dyDescent="0.25"/>
  <cols>
    <col min="1" max="1" width="25.85546875" bestFit="1" customWidth="1"/>
    <col min="2" max="2" width="20.85546875" bestFit="1" customWidth="1"/>
    <col min="3" max="3" width="23.140625" bestFit="1" customWidth="1"/>
    <col min="4" max="4" width="17.5703125" bestFit="1" customWidth="1"/>
    <col min="5" max="5" width="20.85546875" customWidth="1"/>
    <col min="6" max="6" width="18.7109375" customWidth="1"/>
    <col min="7" max="7" width="18" customWidth="1"/>
    <col min="8" max="8" width="18.85546875" customWidth="1"/>
    <col min="9" max="9" width="18.140625" customWidth="1"/>
    <col min="10" max="10" width="66" bestFit="1" customWidth="1"/>
    <col min="11" max="11" width="15.140625" customWidth="1"/>
    <col min="12" max="12" width="20" customWidth="1"/>
  </cols>
  <sheetData>
    <row r="1" spans="1:12" x14ac:dyDescent="0.25">
      <c r="A1" t="s">
        <v>0</v>
      </c>
      <c r="B1" t="s">
        <v>186</v>
      </c>
      <c r="C1" t="s">
        <v>487</v>
      </c>
      <c r="D1" t="s">
        <v>187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</row>
    <row r="2" spans="1:12" x14ac:dyDescent="0.25">
      <c r="A2" t="s">
        <v>208</v>
      </c>
      <c r="B2" t="s">
        <v>48</v>
      </c>
      <c r="C2" t="s">
        <v>81</v>
      </c>
      <c r="D2" t="s">
        <v>461</v>
      </c>
      <c r="E2">
        <v>123</v>
      </c>
      <c r="F2" s="9" t="s">
        <v>454</v>
      </c>
      <c r="G2" s="9">
        <v>45532</v>
      </c>
      <c r="H2" s="9" t="s">
        <v>455</v>
      </c>
      <c r="I2" s="9" t="s">
        <v>456</v>
      </c>
      <c r="J2" t="s">
        <v>458</v>
      </c>
      <c r="K2" t="s">
        <v>32</v>
      </c>
      <c r="L2" t="s">
        <v>459</v>
      </c>
    </row>
    <row r="3" spans="1:12" x14ac:dyDescent="0.25">
      <c r="A3" t="s">
        <v>220</v>
      </c>
      <c r="B3" t="s">
        <v>48</v>
      </c>
      <c r="C3" t="s">
        <v>72</v>
      </c>
      <c r="D3" t="s">
        <v>461</v>
      </c>
      <c r="E3">
        <v>456</v>
      </c>
      <c r="F3" s="9" t="s">
        <v>460</v>
      </c>
      <c r="G3" s="9">
        <v>45536</v>
      </c>
      <c r="H3" s="9" t="s">
        <v>457</v>
      </c>
      <c r="I3" s="9" t="s">
        <v>456</v>
      </c>
      <c r="J3" t="s">
        <v>458</v>
      </c>
      <c r="K3" t="s">
        <v>45</v>
      </c>
      <c r="L3" t="s">
        <v>459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ABB2-03F5-4640-A928-70D08764D137}">
  <dimension ref="A1:P2"/>
  <sheetViews>
    <sheetView workbookViewId="0">
      <selection activeCell="D1" sqref="A1:P1"/>
    </sheetView>
  </sheetViews>
  <sheetFormatPr defaultRowHeight="15" x14ac:dyDescent="0.25"/>
  <cols>
    <col min="1" max="1" width="9.7109375" bestFit="1" customWidth="1"/>
    <col min="2" max="2" width="14.28515625" bestFit="1" customWidth="1"/>
    <col min="3" max="3" width="23.140625" bestFit="1" customWidth="1"/>
    <col min="4" max="4" width="23.140625" customWidth="1"/>
    <col min="5" max="5" width="14.42578125" customWidth="1"/>
    <col min="6" max="6" width="14.140625" bestFit="1" customWidth="1"/>
    <col min="7" max="7" width="16.85546875" customWidth="1"/>
    <col min="8" max="8" width="16" customWidth="1"/>
    <col min="9" max="9" width="19" bestFit="1" customWidth="1"/>
    <col min="10" max="10" width="12.140625" bestFit="1" customWidth="1"/>
    <col min="11" max="11" width="14.42578125" bestFit="1" customWidth="1"/>
    <col min="12" max="12" width="10.5703125" bestFit="1" customWidth="1"/>
    <col min="13" max="13" width="12.85546875" customWidth="1"/>
    <col min="14" max="14" width="10.28515625" customWidth="1"/>
    <col min="15" max="15" width="10.42578125" customWidth="1"/>
    <col min="16" max="16" width="11.85546875" customWidth="1"/>
  </cols>
  <sheetData>
    <row r="1" spans="1:16" x14ac:dyDescent="0.25">
      <c r="A1" t="s">
        <v>0</v>
      </c>
      <c r="B1" t="s">
        <v>481</v>
      </c>
      <c r="C1" t="s">
        <v>485</v>
      </c>
      <c r="D1" t="s">
        <v>487</v>
      </c>
      <c r="E1" t="s">
        <v>483</v>
      </c>
      <c r="F1" t="s">
        <v>187</v>
      </c>
      <c r="G1" t="s">
        <v>70</v>
      </c>
      <c r="H1" t="s">
        <v>71</v>
      </c>
      <c r="I1" t="s">
        <v>473</v>
      </c>
      <c r="J1" t="s">
        <v>474</v>
      </c>
      <c r="K1" t="s">
        <v>475</v>
      </c>
      <c r="L1" t="s">
        <v>476</v>
      </c>
      <c r="M1" t="s">
        <v>477</v>
      </c>
      <c r="N1" t="s">
        <v>478</v>
      </c>
      <c r="O1" t="s">
        <v>479</v>
      </c>
      <c r="P1" t="s">
        <v>480</v>
      </c>
    </row>
    <row r="2" spans="1:16" x14ac:dyDescent="0.25">
      <c r="A2" t="s">
        <v>484</v>
      </c>
      <c r="B2" t="s">
        <v>72</v>
      </c>
      <c r="C2" t="str">
        <f>LEFT(tblActivations[[#This Row],[Id]],LEN(tblActivations[[#This Row],[Id]])-3)</f>
        <v>MONY2308291448VER</v>
      </c>
      <c r="D2" t="s">
        <v>81</v>
      </c>
      <c r="E2">
        <v>1234567989</v>
      </c>
      <c r="F2" t="s">
        <v>472</v>
      </c>
      <c r="G2" s="8">
        <v>45542.504004629627</v>
      </c>
      <c r="H2" s="8">
        <v>45541.504004629627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sqref="A1:H5"/>
    </sheetView>
  </sheetViews>
  <sheetFormatPr defaultRowHeight="15" x14ac:dyDescent="0.25"/>
  <cols>
    <col min="1" max="1" width="15.5703125" bestFit="1" customWidth="1"/>
    <col min="2" max="2" width="10.85546875" bestFit="1" customWidth="1"/>
    <col min="3" max="3" width="41.7109375" bestFit="1" customWidth="1"/>
    <col min="4" max="4" width="16" customWidth="1"/>
    <col min="5" max="5" width="31" bestFit="1" customWidth="1"/>
    <col min="6" max="6" width="18.28515625" bestFit="1" customWidth="1"/>
    <col min="7" max="7" width="31" bestFit="1" customWidth="1"/>
    <col min="8" max="8" width="18.28515625" bestFit="1" customWidth="1"/>
  </cols>
  <sheetData>
    <row r="1" spans="1:8" x14ac:dyDescent="0.25">
      <c r="A1" t="s">
        <v>247</v>
      </c>
      <c r="B1" t="s">
        <v>248</v>
      </c>
      <c r="C1" t="s">
        <v>249</v>
      </c>
      <c r="D1" t="s">
        <v>250</v>
      </c>
      <c r="E1" t="s">
        <v>13</v>
      </c>
      <c r="F1" t="s">
        <v>67</v>
      </c>
      <c r="G1" t="s">
        <v>68</v>
      </c>
      <c r="H1" t="s">
        <v>69</v>
      </c>
    </row>
    <row r="2" spans="1:8" x14ac:dyDescent="0.25">
      <c r="A2" t="s">
        <v>251</v>
      </c>
      <c r="B2" t="s">
        <v>252</v>
      </c>
      <c r="C2" t="s">
        <v>253</v>
      </c>
      <c r="D2" t="s">
        <v>253</v>
      </c>
      <c r="E2" t="s">
        <v>29</v>
      </c>
      <c r="F2" s="2">
        <v>45536.504004629627</v>
      </c>
      <c r="G2" t="s">
        <v>29</v>
      </c>
      <c r="H2" s="2">
        <v>45536.504004629627</v>
      </c>
    </row>
    <row r="3" spans="1:8" x14ac:dyDescent="0.25">
      <c r="A3" t="s">
        <v>254</v>
      </c>
      <c r="B3" t="s">
        <v>255</v>
      </c>
      <c r="C3" t="s">
        <v>256</v>
      </c>
      <c r="D3" t="s">
        <v>256</v>
      </c>
      <c r="E3" t="s">
        <v>29</v>
      </c>
      <c r="F3" s="2">
        <v>45537.504004571761</v>
      </c>
      <c r="G3" t="s">
        <v>29</v>
      </c>
      <c r="H3" s="2">
        <v>45537.504004571761</v>
      </c>
    </row>
    <row r="4" spans="1:8" x14ac:dyDescent="0.25">
      <c r="A4" t="s">
        <v>257</v>
      </c>
      <c r="B4" t="s">
        <v>258</v>
      </c>
      <c r="C4" t="s">
        <v>253</v>
      </c>
      <c r="D4" t="s">
        <v>253</v>
      </c>
      <c r="E4" t="s">
        <v>29</v>
      </c>
      <c r="F4" s="2">
        <v>45538.504004571761</v>
      </c>
      <c r="G4" t="s">
        <v>29</v>
      </c>
      <c r="H4" s="2">
        <v>45538.504004571761</v>
      </c>
    </row>
    <row r="5" spans="1:8" x14ac:dyDescent="0.25">
      <c r="A5" t="s">
        <v>259</v>
      </c>
      <c r="B5" t="s">
        <v>260</v>
      </c>
      <c r="C5" t="s">
        <v>253</v>
      </c>
      <c r="D5" t="s">
        <v>253</v>
      </c>
      <c r="E5" t="s">
        <v>29</v>
      </c>
      <c r="F5" s="2">
        <v>45539.504004571761</v>
      </c>
      <c r="G5" t="s">
        <v>29</v>
      </c>
      <c r="H5" s="2">
        <v>45539.504004571761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F3" sqref="A1:H5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9.140625" customWidth="1"/>
    <col min="4" max="4" width="15.5703125" bestFit="1" customWidth="1"/>
    <col min="5" max="5" width="30.7109375" bestFit="1" customWidth="1"/>
    <col min="6" max="6" width="15.5703125" bestFit="1" customWidth="1"/>
    <col min="7" max="7" width="30.7109375" bestFit="1" customWidth="1"/>
    <col min="8" max="8" width="15.5703125" bestFit="1" customWidth="1"/>
  </cols>
  <sheetData>
    <row r="1" spans="1:8" x14ac:dyDescent="0.25">
      <c r="A1" t="s">
        <v>248</v>
      </c>
      <c r="B1" t="s">
        <v>261</v>
      </c>
      <c r="C1" t="s">
        <v>262</v>
      </c>
      <c r="D1" t="s">
        <v>67</v>
      </c>
      <c r="E1" t="s">
        <v>263</v>
      </c>
      <c r="F1" t="s">
        <v>264</v>
      </c>
      <c r="G1" t="s">
        <v>265</v>
      </c>
      <c r="H1" t="s">
        <v>266</v>
      </c>
    </row>
    <row r="2" spans="1:8" x14ac:dyDescent="0.25">
      <c r="A2" t="s">
        <v>267</v>
      </c>
      <c r="B2" t="s">
        <v>209</v>
      </c>
      <c r="C2" t="s">
        <v>268</v>
      </c>
      <c r="D2" s="1">
        <v>45469.485430787034</v>
      </c>
      <c r="E2" t="s">
        <v>269</v>
      </c>
      <c r="F2" s="1">
        <v>45469.485430787034</v>
      </c>
      <c r="G2" t="s">
        <v>269</v>
      </c>
      <c r="H2" s="1">
        <f>F2+365</f>
        <v>45834.485430787034</v>
      </c>
    </row>
    <row r="3" spans="1:8" x14ac:dyDescent="0.25">
      <c r="A3" t="s">
        <v>270</v>
      </c>
      <c r="B3" t="s">
        <v>271</v>
      </c>
      <c r="C3" t="s">
        <v>268</v>
      </c>
      <c r="D3" s="1">
        <v>45469.485430787034</v>
      </c>
      <c r="E3" t="s">
        <v>269</v>
      </c>
      <c r="F3" s="1">
        <v>45469.485430787034</v>
      </c>
      <c r="G3" t="s">
        <v>269</v>
      </c>
      <c r="H3" s="1">
        <f t="shared" ref="H3:H5" si="0">F3+365</f>
        <v>45834.485430787034</v>
      </c>
    </row>
    <row r="4" spans="1:8" x14ac:dyDescent="0.25">
      <c r="A4" t="s">
        <v>272</v>
      </c>
      <c r="B4" t="s">
        <v>273</v>
      </c>
      <c r="C4" t="s">
        <v>268</v>
      </c>
      <c r="D4" s="1">
        <v>45469.485430787034</v>
      </c>
      <c r="E4" t="s">
        <v>269</v>
      </c>
      <c r="F4" s="1">
        <v>45469.485430787034</v>
      </c>
      <c r="G4" t="s">
        <v>269</v>
      </c>
      <c r="H4" s="1">
        <f t="shared" si="0"/>
        <v>45834.485430787034</v>
      </c>
    </row>
    <row r="5" spans="1:8" x14ac:dyDescent="0.25">
      <c r="A5" t="s">
        <v>274</v>
      </c>
      <c r="B5" t="s">
        <v>275</v>
      </c>
      <c r="C5" t="s">
        <v>268</v>
      </c>
      <c r="D5" s="1">
        <v>45469.485430787034</v>
      </c>
      <c r="E5" t="s">
        <v>269</v>
      </c>
      <c r="F5" s="1">
        <v>45469.485430787034</v>
      </c>
      <c r="G5" t="s">
        <v>269</v>
      </c>
      <c r="H5" s="1">
        <f t="shared" si="0"/>
        <v>45834.485430787034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9894-149D-4B11-AA8D-392E46D0B8FA}">
  <dimension ref="A1:L26"/>
  <sheetViews>
    <sheetView topLeftCell="D1" workbookViewId="0">
      <selection activeCell="A2" sqref="A2:L26"/>
    </sheetView>
  </sheetViews>
  <sheetFormatPr defaultRowHeight="15" x14ac:dyDescent="0.25"/>
  <cols>
    <col min="1" max="1" width="17" bestFit="1" customWidth="1"/>
    <col min="2" max="2" width="13.85546875" bestFit="1" customWidth="1"/>
    <col min="3" max="3" width="19.7109375" bestFit="1" customWidth="1"/>
    <col min="4" max="4" width="15.28515625" customWidth="1"/>
    <col min="5" max="5" width="14.140625" customWidth="1"/>
    <col min="6" max="6" width="24.7109375" customWidth="1"/>
    <col min="7" max="7" width="13.5703125" customWidth="1"/>
    <col min="8" max="8" width="24" bestFit="1" customWidth="1"/>
    <col min="9" max="9" width="31.5703125" bestFit="1" customWidth="1"/>
    <col min="10" max="10" width="79.7109375" bestFit="1" customWidth="1"/>
    <col min="11" max="11" width="10.5703125" customWidth="1"/>
    <col min="12" max="12" width="12.140625" customWidth="1"/>
  </cols>
  <sheetData>
    <row r="1" spans="1:12" x14ac:dyDescent="0.25">
      <c r="A1" t="s">
        <v>276</v>
      </c>
      <c r="B1" t="s">
        <v>11</v>
      </c>
      <c r="C1" t="s">
        <v>54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60</v>
      </c>
      <c r="L1" t="s">
        <v>61</v>
      </c>
    </row>
    <row r="2" spans="1:12" x14ac:dyDescent="0.25">
      <c r="A2" t="s">
        <v>111</v>
      </c>
      <c r="B2" t="s">
        <v>284</v>
      </c>
      <c r="C2" t="s">
        <v>73</v>
      </c>
      <c r="D2" t="s">
        <v>216</v>
      </c>
      <c r="E2" t="s">
        <v>111</v>
      </c>
      <c r="F2" t="s">
        <v>285</v>
      </c>
      <c r="G2" s="6">
        <v>10282</v>
      </c>
      <c r="H2" t="s">
        <v>286</v>
      </c>
      <c r="I2" s="6">
        <v>300</v>
      </c>
      <c r="J2" t="s">
        <v>287</v>
      </c>
      <c r="K2">
        <v>40.7147038659852</v>
      </c>
      <c r="L2">
        <v>-74.016941453450698</v>
      </c>
    </row>
    <row r="3" spans="1:12" x14ac:dyDescent="0.25">
      <c r="A3" t="s">
        <v>75</v>
      </c>
      <c r="B3" t="s">
        <v>284</v>
      </c>
      <c r="C3" t="s">
        <v>73</v>
      </c>
      <c r="D3" t="s">
        <v>216</v>
      </c>
      <c r="E3" t="s">
        <v>75</v>
      </c>
      <c r="F3" t="s">
        <v>288</v>
      </c>
      <c r="G3" s="6">
        <v>30318</v>
      </c>
      <c r="H3" t="s">
        <v>289</v>
      </c>
      <c r="I3" s="6">
        <v>944</v>
      </c>
      <c r="J3" t="s">
        <v>290</v>
      </c>
      <c r="K3">
        <v>33.780735356223097</v>
      </c>
      <c r="L3">
        <v>-84.4130110393302</v>
      </c>
    </row>
    <row r="4" spans="1:12" x14ac:dyDescent="0.25">
      <c r="A4" t="s">
        <v>102</v>
      </c>
      <c r="B4" t="s">
        <v>284</v>
      </c>
      <c r="C4" t="s">
        <v>73</v>
      </c>
      <c r="D4" t="s">
        <v>216</v>
      </c>
      <c r="E4" t="s">
        <v>102</v>
      </c>
      <c r="F4" t="s">
        <v>291</v>
      </c>
      <c r="G4" s="6">
        <v>60611</v>
      </c>
      <c r="H4" t="s">
        <v>292</v>
      </c>
      <c r="I4" s="6">
        <v>444</v>
      </c>
      <c r="J4" t="s">
        <v>293</v>
      </c>
      <c r="K4">
        <v>41.89</v>
      </c>
      <c r="L4">
        <v>-87.623999999999995</v>
      </c>
    </row>
    <row r="5" spans="1:12" x14ac:dyDescent="0.25">
      <c r="A5" t="s">
        <v>294</v>
      </c>
      <c r="B5" t="s">
        <v>284</v>
      </c>
      <c r="C5" t="s">
        <v>73</v>
      </c>
      <c r="D5" t="s">
        <v>216</v>
      </c>
      <c r="E5" t="s">
        <v>294</v>
      </c>
      <c r="F5" t="s">
        <v>295</v>
      </c>
      <c r="G5" s="6">
        <v>63103</v>
      </c>
      <c r="H5" t="s">
        <v>296</v>
      </c>
      <c r="I5" s="6">
        <v>1831</v>
      </c>
      <c r="J5" t="s">
        <v>297</v>
      </c>
      <c r="K5">
        <v>38.629300000000001</v>
      </c>
      <c r="L5">
        <v>-90.202500000000001</v>
      </c>
    </row>
    <row r="6" spans="1:12" x14ac:dyDescent="0.25">
      <c r="A6" t="s">
        <v>117</v>
      </c>
      <c r="B6" t="s">
        <v>284</v>
      </c>
      <c r="C6" t="s">
        <v>73</v>
      </c>
      <c r="D6" t="s">
        <v>216</v>
      </c>
      <c r="E6" t="s">
        <v>117</v>
      </c>
      <c r="F6" t="s">
        <v>298</v>
      </c>
      <c r="G6" s="6">
        <v>98101</v>
      </c>
      <c r="H6" t="s">
        <v>299</v>
      </c>
      <c r="I6" s="6">
        <v>818</v>
      </c>
      <c r="J6" t="s">
        <v>300</v>
      </c>
      <c r="K6">
        <v>47.6158</v>
      </c>
      <c r="L6">
        <v>-122.336</v>
      </c>
    </row>
    <row r="7" spans="1:12" x14ac:dyDescent="0.25">
      <c r="A7" t="s">
        <v>301</v>
      </c>
      <c r="B7" t="s">
        <v>284</v>
      </c>
      <c r="C7" t="s">
        <v>302</v>
      </c>
      <c r="D7" t="s">
        <v>239</v>
      </c>
      <c r="E7" t="s">
        <v>301</v>
      </c>
      <c r="F7" t="s">
        <v>303</v>
      </c>
      <c r="G7" s="6" t="s">
        <v>304</v>
      </c>
      <c r="H7" t="s">
        <v>305</v>
      </c>
      <c r="I7" s="6">
        <v>200</v>
      </c>
      <c r="J7" t="s">
        <v>306</v>
      </c>
      <c r="K7">
        <v>43.644100000000002</v>
      </c>
      <c r="L7">
        <v>-79.395200000000003</v>
      </c>
    </row>
    <row r="8" spans="1:12" x14ac:dyDescent="0.25">
      <c r="A8" t="s">
        <v>307</v>
      </c>
      <c r="B8" t="s">
        <v>308</v>
      </c>
      <c r="C8" t="s">
        <v>309</v>
      </c>
      <c r="D8" t="s">
        <v>310</v>
      </c>
      <c r="E8" t="s">
        <v>430</v>
      </c>
      <c r="F8" t="s">
        <v>311</v>
      </c>
      <c r="G8" s="6" t="s">
        <v>312</v>
      </c>
      <c r="H8" t="s">
        <v>313</v>
      </c>
      <c r="I8" s="6" t="s">
        <v>314</v>
      </c>
      <c r="J8" t="s">
        <v>315</v>
      </c>
      <c r="K8">
        <v>4.6760000000000002</v>
      </c>
      <c r="L8">
        <v>-74.046000000000006</v>
      </c>
    </row>
    <row r="9" spans="1:12" x14ac:dyDescent="0.25">
      <c r="A9" t="s">
        <v>316</v>
      </c>
      <c r="B9" t="s">
        <v>308</v>
      </c>
      <c r="C9" t="s">
        <v>317</v>
      </c>
      <c r="D9" t="s">
        <v>318</v>
      </c>
      <c r="E9" t="s">
        <v>316</v>
      </c>
      <c r="F9" t="s">
        <v>319</v>
      </c>
      <c r="G9" s="6">
        <v>18</v>
      </c>
      <c r="H9" t="s">
        <v>320</v>
      </c>
      <c r="I9" s="6">
        <v>169</v>
      </c>
      <c r="J9" t="s">
        <v>321</v>
      </c>
      <c r="K9">
        <v>-12.1214</v>
      </c>
      <c r="L9">
        <v>-77.028199999999998</v>
      </c>
    </row>
    <row r="10" spans="1:12" x14ac:dyDescent="0.25">
      <c r="A10" t="s">
        <v>322</v>
      </c>
      <c r="B10" t="s">
        <v>308</v>
      </c>
      <c r="C10" t="s">
        <v>323</v>
      </c>
      <c r="D10" t="s">
        <v>324</v>
      </c>
      <c r="E10" t="s">
        <v>322</v>
      </c>
      <c r="F10" t="s">
        <v>325</v>
      </c>
      <c r="G10" s="6" t="s">
        <v>312</v>
      </c>
      <c r="H10" t="s">
        <v>326</v>
      </c>
      <c r="I10" s="6">
        <v>150</v>
      </c>
      <c r="J10" t="s">
        <v>327</v>
      </c>
      <c r="K10">
        <v>-33.425400000000003</v>
      </c>
      <c r="L10">
        <v>-70.6173</v>
      </c>
    </row>
    <row r="11" spans="1:12" x14ac:dyDescent="0.25">
      <c r="A11" t="s">
        <v>328</v>
      </c>
      <c r="B11" t="s">
        <v>308</v>
      </c>
      <c r="C11" t="s">
        <v>329</v>
      </c>
      <c r="D11" t="s">
        <v>330</v>
      </c>
      <c r="E11" t="s">
        <v>431</v>
      </c>
      <c r="F11" t="s">
        <v>331</v>
      </c>
      <c r="G11" s="6" t="s">
        <v>332</v>
      </c>
      <c r="H11" t="s">
        <v>333</v>
      </c>
      <c r="I11" s="6">
        <v>1240</v>
      </c>
      <c r="J11" t="s">
        <v>334</v>
      </c>
      <c r="K11">
        <v>-23.584800000000001</v>
      </c>
      <c r="L11">
        <v>-46.6937</v>
      </c>
    </row>
    <row r="12" spans="1:12" x14ac:dyDescent="0.25">
      <c r="A12" t="s">
        <v>335</v>
      </c>
      <c r="B12" t="s">
        <v>336</v>
      </c>
      <c r="C12" t="s">
        <v>337</v>
      </c>
      <c r="D12" t="s">
        <v>338</v>
      </c>
      <c r="E12" t="s">
        <v>335</v>
      </c>
      <c r="F12" t="s">
        <v>339</v>
      </c>
      <c r="G12" s="6">
        <v>15232</v>
      </c>
      <c r="H12" t="s">
        <v>340</v>
      </c>
      <c r="I12" s="6" t="s">
        <v>341</v>
      </c>
      <c r="J12" t="s">
        <v>342</v>
      </c>
      <c r="K12">
        <v>38.023699999999998</v>
      </c>
      <c r="L12">
        <v>23.800599999999999</v>
      </c>
    </row>
    <row r="13" spans="1:12" x14ac:dyDescent="0.25">
      <c r="A13" t="s">
        <v>343</v>
      </c>
      <c r="B13" t="s">
        <v>336</v>
      </c>
      <c r="C13" t="s">
        <v>344</v>
      </c>
      <c r="D13" t="s">
        <v>345</v>
      </c>
      <c r="E13" t="s">
        <v>343</v>
      </c>
      <c r="F13" t="s">
        <v>346</v>
      </c>
      <c r="G13" s="7" t="s">
        <v>347</v>
      </c>
      <c r="H13" t="s">
        <v>348</v>
      </c>
      <c r="I13" s="6">
        <v>18</v>
      </c>
      <c r="J13" t="s">
        <v>349</v>
      </c>
      <c r="K13">
        <v>44.447499999999998</v>
      </c>
      <c r="L13">
        <v>26.097899999999999</v>
      </c>
    </row>
    <row r="14" spans="1:12" x14ac:dyDescent="0.25">
      <c r="A14" t="s">
        <v>350</v>
      </c>
      <c r="B14" t="s">
        <v>336</v>
      </c>
      <c r="C14" t="s">
        <v>351</v>
      </c>
      <c r="D14" t="s">
        <v>352</v>
      </c>
      <c r="E14" t="s">
        <v>350</v>
      </c>
      <c r="F14" t="s">
        <v>353</v>
      </c>
      <c r="G14" s="6" t="s">
        <v>312</v>
      </c>
      <c r="H14" t="s">
        <v>354</v>
      </c>
      <c r="I14" s="6">
        <v>10</v>
      </c>
      <c r="J14" t="s">
        <v>355</v>
      </c>
      <c r="K14">
        <v>30.054400000000001</v>
      </c>
      <c r="L14">
        <v>31.202300000000001</v>
      </c>
    </row>
    <row r="15" spans="1:12" x14ac:dyDescent="0.25">
      <c r="A15" t="s">
        <v>356</v>
      </c>
      <c r="B15" t="s">
        <v>336</v>
      </c>
      <c r="C15" t="s">
        <v>357</v>
      </c>
      <c r="D15" t="s">
        <v>358</v>
      </c>
      <c r="E15" t="s">
        <v>356</v>
      </c>
      <c r="F15" t="s">
        <v>359</v>
      </c>
      <c r="G15" s="6">
        <v>6834</v>
      </c>
      <c r="H15" t="s">
        <v>360</v>
      </c>
      <c r="I15" s="6">
        <v>6</v>
      </c>
      <c r="J15" t="s">
        <v>361</v>
      </c>
      <c r="K15">
        <v>25.093499999999999</v>
      </c>
      <c r="L15">
        <v>55.1631</v>
      </c>
    </row>
    <row r="16" spans="1:12" x14ac:dyDescent="0.25">
      <c r="A16" t="s">
        <v>362</v>
      </c>
      <c r="B16" t="s">
        <v>336</v>
      </c>
      <c r="C16" t="s">
        <v>363</v>
      </c>
      <c r="D16" t="s">
        <v>364</v>
      </c>
      <c r="E16" t="s">
        <v>362</v>
      </c>
      <c r="F16" t="s">
        <v>365</v>
      </c>
      <c r="G16" s="6">
        <v>60598</v>
      </c>
      <c r="H16" t="s">
        <v>366</v>
      </c>
      <c r="I16" s="6">
        <v>44</v>
      </c>
      <c r="J16" t="s">
        <v>367</v>
      </c>
      <c r="K16">
        <v>50.097099999999998</v>
      </c>
      <c r="L16">
        <v>8.6843000000000004</v>
      </c>
    </row>
    <row r="17" spans="1:12" x14ac:dyDescent="0.25">
      <c r="A17" t="s">
        <v>368</v>
      </c>
      <c r="B17" t="s">
        <v>336</v>
      </c>
      <c r="C17" t="s">
        <v>369</v>
      </c>
      <c r="D17" t="s">
        <v>370</v>
      </c>
      <c r="E17" t="s">
        <v>368</v>
      </c>
      <c r="F17" t="s">
        <v>371</v>
      </c>
      <c r="G17" s="6" t="s">
        <v>372</v>
      </c>
      <c r="H17" t="s">
        <v>371</v>
      </c>
      <c r="I17" s="6">
        <v>7</v>
      </c>
      <c r="J17" t="s">
        <v>373</v>
      </c>
      <c r="K17">
        <v>57.706600000000002</v>
      </c>
      <c r="L17">
        <v>11.967599999999999</v>
      </c>
    </row>
    <row r="18" spans="1:12" x14ac:dyDescent="0.25">
      <c r="A18" t="s">
        <v>374</v>
      </c>
      <c r="B18" t="s">
        <v>336</v>
      </c>
      <c r="C18" t="s">
        <v>375</v>
      </c>
      <c r="D18" t="s">
        <v>376</v>
      </c>
      <c r="E18" t="s">
        <v>374</v>
      </c>
      <c r="F18" t="s">
        <v>377</v>
      </c>
      <c r="G18" s="6" t="s">
        <v>378</v>
      </c>
      <c r="H18" t="s">
        <v>377</v>
      </c>
      <c r="I18" s="6">
        <v>135</v>
      </c>
      <c r="J18" t="s">
        <v>379</v>
      </c>
      <c r="K18">
        <v>51.516300000000001</v>
      </c>
      <c r="L18">
        <v>-8.1799999999999998E-2</v>
      </c>
    </row>
    <row r="19" spans="1:12" x14ac:dyDescent="0.25">
      <c r="A19" t="s">
        <v>380</v>
      </c>
      <c r="B19" t="s">
        <v>336</v>
      </c>
      <c r="C19" t="s">
        <v>381</v>
      </c>
      <c r="D19" t="s">
        <v>382</v>
      </c>
      <c r="E19" t="s">
        <v>380</v>
      </c>
      <c r="F19" t="s">
        <v>383</v>
      </c>
      <c r="G19" s="6">
        <v>28016</v>
      </c>
      <c r="H19" t="s">
        <v>384</v>
      </c>
      <c r="I19" s="6">
        <v>6</v>
      </c>
      <c r="J19" t="s">
        <v>385</v>
      </c>
      <c r="K19">
        <v>40.456200000000003</v>
      </c>
      <c r="L19">
        <v>-3.6760999999999999</v>
      </c>
    </row>
    <row r="20" spans="1:12" x14ac:dyDescent="0.25">
      <c r="A20" t="s">
        <v>386</v>
      </c>
      <c r="B20" t="s">
        <v>336</v>
      </c>
      <c r="C20" t="s">
        <v>375</v>
      </c>
      <c r="D20" t="s">
        <v>376</v>
      </c>
      <c r="E20" t="s">
        <v>386</v>
      </c>
      <c r="F20" t="s">
        <v>387</v>
      </c>
      <c r="G20" s="6" t="s">
        <v>388</v>
      </c>
      <c r="H20" t="s">
        <v>387</v>
      </c>
      <c r="I20" s="6">
        <v>196</v>
      </c>
      <c r="J20" t="s">
        <v>389</v>
      </c>
      <c r="K20">
        <v>53.479399999999998</v>
      </c>
      <c r="L20">
        <v>-2.2463000000000002</v>
      </c>
    </row>
    <row r="21" spans="1:12" x14ac:dyDescent="0.25">
      <c r="A21" t="s">
        <v>390</v>
      </c>
      <c r="B21" t="s">
        <v>336</v>
      </c>
      <c r="C21" t="s">
        <v>391</v>
      </c>
      <c r="D21" t="s">
        <v>392</v>
      </c>
      <c r="E21" t="s">
        <v>390</v>
      </c>
      <c r="F21" t="s">
        <v>393</v>
      </c>
      <c r="G21" s="6">
        <v>20141</v>
      </c>
      <c r="H21" t="s">
        <v>394</v>
      </c>
      <c r="I21" s="6">
        <v>7</v>
      </c>
      <c r="J21" t="s">
        <v>395</v>
      </c>
      <c r="K21">
        <v>45.448900000000002</v>
      </c>
      <c r="L21">
        <v>9.1918000000000006</v>
      </c>
    </row>
    <row r="22" spans="1:12" x14ac:dyDescent="0.25">
      <c r="A22" t="s">
        <v>396</v>
      </c>
      <c r="B22" t="s">
        <v>397</v>
      </c>
      <c r="C22" t="s">
        <v>398</v>
      </c>
      <c r="D22" t="s">
        <v>399</v>
      </c>
      <c r="E22" t="s">
        <v>396</v>
      </c>
      <c r="F22" t="s">
        <v>400</v>
      </c>
      <c r="G22" s="6">
        <v>110019</v>
      </c>
      <c r="H22" t="s">
        <v>401</v>
      </c>
      <c r="I22" s="6">
        <v>8</v>
      </c>
      <c r="J22" t="s">
        <v>402</v>
      </c>
      <c r="K22">
        <v>28.546199999999999</v>
      </c>
      <c r="L22">
        <v>77.258200000000002</v>
      </c>
    </row>
    <row r="23" spans="1:12" x14ac:dyDescent="0.25">
      <c r="A23" t="s">
        <v>403</v>
      </c>
      <c r="B23" t="s">
        <v>336</v>
      </c>
      <c r="C23" t="s">
        <v>404</v>
      </c>
      <c r="D23" t="s">
        <v>405</v>
      </c>
      <c r="E23" t="s">
        <v>403</v>
      </c>
      <c r="F23" t="s">
        <v>406</v>
      </c>
      <c r="G23" s="6" t="s">
        <v>407</v>
      </c>
      <c r="H23" t="s">
        <v>408</v>
      </c>
      <c r="I23" s="6">
        <v>28</v>
      </c>
      <c r="J23" t="s">
        <v>409</v>
      </c>
      <c r="K23">
        <v>50.078499999999998</v>
      </c>
      <c r="L23">
        <v>14.4435</v>
      </c>
    </row>
    <row r="24" spans="1:12" x14ac:dyDescent="0.25">
      <c r="A24" t="s">
        <v>410</v>
      </c>
      <c r="B24" t="s">
        <v>397</v>
      </c>
      <c r="C24" t="s">
        <v>411</v>
      </c>
      <c r="D24" t="s">
        <v>412</v>
      </c>
      <c r="E24" t="s">
        <v>410</v>
      </c>
      <c r="F24" t="s">
        <v>413</v>
      </c>
      <c r="G24" s="6" t="s">
        <v>414</v>
      </c>
      <c r="H24" t="s">
        <v>415</v>
      </c>
      <c r="I24" s="6">
        <v>31</v>
      </c>
      <c r="J24" t="s">
        <v>416</v>
      </c>
      <c r="K24">
        <v>37.508699999999997</v>
      </c>
      <c r="L24">
        <v>127.0348</v>
      </c>
    </row>
    <row r="25" spans="1:12" x14ac:dyDescent="0.25">
      <c r="A25" t="s">
        <v>417</v>
      </c>
      <c r="B25" t="s">
        <v>397</v>
      </c>
      <c r="C25" t="s">
        <v>418</v>
      </c>
      <c r="D25" t="s">
        <v>419</v>
      </c>
      <c r="E25" t="s">
        <v>417</v>
      </c>
      <c r="F25" t="s">
        <v>420</v>
      </c>
      <c r="G25" s="6">
        <v>2000</v>
      </c>
      <c r="H25" t="s">
        <v>420</v>
      </c>
      <c r="I25" s="6">
        <v>360</v>
      </c>
      <c r="J25" t="s">
        <v>421</v>
      </c>
      <c r="K25">
        <v>-33.8688</v>
      </c>
      <c r="L25">
        <v>151.20930000000001</v>
      </c>
    </row>
    <row r="26" spans="1:12" x14ac:dyDescent="0.25">
      <c r="A26" t="s">
        <v>422</v>
      </c>
      <c r="B26" t="s">
        <v>397</v>
      </c>
      <c r="C26" t="s">
        <v>423</v>
      </c>
      <c r="D26" t="s">
        <v>424</v>
      </c>
      <c r="E26" t="s">
        <v>422</v>
      </c>
      <c r="F26" t="s">
        <v>425</v>
      </c>
      <c r="G26" s="6" t="s">
        <v>426</v>
      </c>
      <c r="H26" t="s">
        <v>427</v>
      </c>
      <c r="I26" s="6" t="s">
        <v>428</v>
      </c>
      <c r="J26" t="s">
        <v>429</v>
      </c>
      <c r="K26">
        <v>35.659500000000001</v>
      </c>
      <c r="L26">
        <v>139.703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3a4297306f45b7232432285f2e4fc0a3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85f62882915f962eb2adfc659e2f43e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254B797E-FA16-42EC-A6B6-D0DB34B7EA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302EF7-EF50-4E6C-9770-32F9931232BB}"/>
</file>

<file path=customXml/itemProps3.xml><?xml version="1.0" encoding="utf-8"?>
<ds:datastoreItem xmlns:ds="http://schemas.openxmlformats.org/officeDocument/2006/customXml" ds:itemID="{B11CE7A1-7F0E-4AB9-B262-079A5A8DB2CD}">
  <ds:schemaRefs>
    <ds:schemaRef ds:uri="http://schemas.microsoft.com/office/2006/documentManagement/types"/>
    <ds:schemaRef ds:uri="http://purl.org/dc/terms/"/>
    <ds:schemaRef ds:uri="http://purl.org/dc/dcmitype/"/>
    <ds:schemaRef ds:uri="05212364-6e0c-40a5-9fff-da248140089a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801b4607-f500-4f6e-b784-fb54d22359e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tblCampaings</vt:lpstr>
      <vt:lpstr>tblEvents</vt:lpstr>
      <vt:lpstr>tblActivations</vt:lpstr>
      <vt:lpstr>AssignedUsers</vt:lpstr>
      <vt:lpstr>tblLocation</vt:lpstr>
      <vt:lpstr>tblSurveys</vt:lpstr>
      <vt:lpstr>tblBarCodes</vt:lpstr>
      <vt:lpstr>tblFieldOptions</vt:lpstr>
      <vt:lpstr>tblApi</vt:lpstr>
      <vt:lpstr>MomentumOffices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Bustos, Luis (WW-MOM)</dc:creator>
  <cp:keywords/>
  <dc:description/>
  <cp:lastModifiedBy>Bustos, Luis (WW-MOM)</cp:lastModifiedBy>
  <cp:revision/>
  <dcterms:created xsi:type="dcterms:W3CDTF">2024-06-26T10:35:15Z</dcterms:created>
  <dcterms:modified xsi:type="dcterms:W3CDTF">2024-09-09T14:13:58Z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  <property fmtid="{D5CDD505-2E9C-101B-9397-08002B2CF9AE}" pid="3" name="MediaServiceImageTags">
    <vt:lpwstr/>
  </property>
</Properties>
</file>