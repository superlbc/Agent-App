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 Open " sheetId="1" r:id="rId4"/>
    <sheet state="visible" name="AMEX SHOP" sheetId="2" r:id="rId5"/>
    <sheet state="visible" name="Break the Love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11">
      <text>
        <t xml:space="preserve">@rohan.shastri@momentumww.com @sammi.salmirs@momentumww.com 
RADIO DISTRO
_Assigned to rohan.shastri@momentumww.com_
	-Catherine McLaughlin</t>
      </text>
    </comment>
  </commentList>
</comments>
</file>

<file path=xl/sharedStrings.xml><?xml version="1.0" encoding="utf-8"?>
<sst xmlns="http://schemas.openxmlformats.org/spreadsheetml/2006/main" count="289" uniqueCount="146">
  <si>
    <t>LOCATIONS</t>
  </si>
  <si>
    <t>DATA COLLECTION</t>
  </si>
  <si>
    <t>FAN WEEK</t>
  </si>
  <si>
    <t>KIDS DAY</t>
  </si>
  <si>
    <t>Dark Day</t>
  </si>
  <si>
    <t>WEEK 1</t>
  </si>
  <si>
    <t>CHAMPIONSHIP WEEK</t>
  </si>
  <si>
    <t>TOTALS</t>
  </si>
  <si>
    <t>Notes</t>
  </si>
  <si>
    <t>Tue</t>
  </si>
  <si>
    <t>Wed</t>
  </si>
  <si>
    <t>Thu</t>
  </si>
  <si>
    <t>Fri</t>
  </si>
  <si>
    <t>Sat</t>
  </si>
  <si>
    <t>Sun</t>
  </si>
  <si>
    <t>Mon</t>
  </si>
  <si>
    <t>AROUND THE GROUNDS</t>
  </si>
  <si>
    <t>Amex Shop</t>
  </si>
  <si>
    <t xml:space="preserve"># of People In </t>
  </si>
  <si>
    <t>Mww/ IPCT TO REPORT</t>
  </si>
  <si>
    <t>Total Charge Volume (Total revenue)</t>
  </si>
  <si>
    <t>Total Transactions/ CMs</t>
  </si>
  <si>
    <t>Average time spent in the store</t>
  </si>
  <si>
    <t xml:space="preserve">Amex small business spend </t>
  </si>
  <si>
    <t xml:space="preserve">Conversation Rate </t>
  </si>
  <si>
    <t>Merchandise spend</t>
  </si>
  <si>
    <t>-</t>
  </si>
  <si>
    <t>Merchandise Sold</t>
  </si>
  <si>
    <t>Number of people in</t>
  </si>
  <si>
    <t>BA Clicker</t>
  </si>
  <si>
    <t>GUEST INFORMATION</t>
  </si>
  <si>
    <t>Main Guest Info</t>
  </si>
  <si>
    <t xml:space="preserve">Radio Boxes Distirbuted </t>
  </si>
  <si>
    <t xml:space="preserve"># of Interactions </t>
  </si>
  <si>
    <t>East Gate Info</t>
  </si>
  <si>
    <t xml:space="preserve">Court 13 Info </t>
  </si>
  <si>
    <t>9/6/2022 - Rain Day - closed</t>
  </si>
  <si>
    <t># of people turned away (insert into turnstile broken)</t>
  </si>
  <si>
    <t>RADIO</t>
  </si>
  <si>
    <t>East Gate Radio (EG)</t>
  </si>
  <si>
    <t>BA Manager to Advise</t>
  </si>
  <si>
    <t>Radios Distributed - No Card</t>
  </si>
  <si>
    <t># of Interactions - CMs</t>
  </si>
  <si>
    <t>LETT</t>
  </si>
  <si>
    <t># of Interactions - Guests</t>
  </si>
  <si>
    <t>Prospect Report</t>
  </si>
  <si>
    <t>Cadillac Radio (CR)</t>
  </si>
  <si>
    <t>Grandstand Radio (GR)</t>
  </si>
  <si>
    <t>Club Level Radio (CL)</t>
  </si>
  <si>
    <t>Court 13 Radio (C13)</t>
  </si>
  <si>
    <t>POAP (Court 13 Radio)</t>
  </si>
  <si>
    <t>9/2 - POAP showing "Access Denied" (IP/CT engaged - 10:30a)</t>
  </si>
  <si>
    <t>CARD MEMBER LOUNGE</t>
  </si>
  <si>
    <t>Capacity: # of People In</t>
  </si>
  <si>
    <t xml:space="preserve"># of CMs In </t>
  </si>
  <si>
    <t># of Prospects In</t>
  </si>
  <si>
    <t>Total prospects captured (CM Lounge, Cryofacial, and Claw) = 9,335</t>
  </si>
  <si>
    <t># of Guests let in</t>
  </si>
  <si>
    <t>LETT Report</t>
  </si>
  <si>
    <t>CMs in - No Card</t>
  </si>
  <si>
    <t>Ralph Lauren (RL)</t>
  </si>
  <si>
    <t>Jason Markk</t>
  </si>
  <si>
    <t># of Interactions</t>
  </si>
  <si>
    <t>La Roche Posay (LRP)</t>
  </si>
  <si>
    <t>TheraBody</t>
  </si>
  <si>
    <t># of interactions</t>
  </si>
  <si>
    <t>Phone Chargers</t>
  </si>
  <si>
    <t xml:space="preserve"># Distributed </t>
  </si>
  <si>
    <t>Postcards</t>
  </si>
  <si>
    <t># Collected</t>
  </si>
  <si>
    <t>BA Counts</t>
  </si>
  <si>
    <t>FAN EXPERIENCE</t>
  </si>
  <si>
    <t>LETT/Prospect Report</t>
  </si>
  <si>
    <t>Raquet Club Information</t>
  </si>
  <si>
    <t>Glow Tennis</t>
  </si>
  <si>
    <t># of Games</t>
  </si>
  <si>
    <t>IPCT Report</t>
  </si>
  <si>
    <t>POAP</t>
  </si>
  <si>
    <t>9/2: One of the three screens wasn't allowing people to mint (IP/CT working on it 10:30a)</t>
  </si>
  <si>
    <t>Total # of POAPs Minted</t>
  </si>
  <si>
    <t>Total # of LRP Offers redeemed</t>
  </si>
  <si>
    <t>Amex</t>
  </si>
  <si>
    <t>Total # of Transit Offers redeemed</t>
  </si>
  <si>
    <t>Cryofacial</t>
  </si>
  <si>
    <t># CMs no card</t>
  </si>
  <si>
    <t>The Claw</t>
  </si>
  <si>
    <t>Radio Boxes Distributed</t>
  </si>
  <si>
    <t>30-year Mural</t>
  </si>
  <si>
    <t xml:space="preserve"> </t>
  </si>
  <si>
    <t>Fan Court</t>
  </si>
  <si>
    <t xml:space="preserve"># of Players/Participants </t>
  </si>
  <si>
    <t>Smartwaiver Report</t>
  </si>
  <si>
    <t xml:space="preserve">8/30 - Rainy Day Closed until 12:30
</t>
  </si>
  <si>
    <t>CENTURION LOUNGE</t>
  </si>
  <si>
    <t>Centurion Lounge</t>
  </si>
  <si>
    <t># of People In</t>
  </si>
  <si>
    <t># of Drink Tokens Distributed</t>
  </si>
  <si>
    <t># of Gifts Distributed in Activation</t>
  </si>
  <si>
    <t xml:space="preserve">PLANNED RADIO DISTRIBUTION </t>
  </si>
  <si>
    <t>Boxes</t>
  </si>
  <si>
    <t>Radios</t>
  </si>
  <si>
    <t>Amex Day</t>
  </si>
  <si>
    <t>PROSPECTING DETAILS</t>
  </si>
  <si>
    <t>Suites</t>
  </si>
  <si>
    <t>East Gate</t>
  </si>
  <si>
    <t>*started prospecting at all locations</t>
  </si>
  <si>
    <t>CCC</t>
  </si>
  <si>
    <t>South Gate (Court 13)</t>
  </si>
  <si>
    <t>Presidents</t>
  </si>
  <si>
    <t xml:space="preserve">Ashe </t>
  </si>
  <si>
    <t>*half day distribution since Community Day</t>
  </si>
  <si>
    <t>USTA</t>
  </si>
  <si>
    <t>*Claw / no prospecting</t>
  </si>
  <si>
    <t>BREAKDOWN</t>
  </si>
  <si>
    <t>*started at 3pm/no claw/no prospecting</t>
  </si>
  <si>
    <t>9/9-9/11</t>
  </si>
  <si>
    <t>*started at 2pm/no claw/no prospecting</t>
  </si>
  <si>
    <t>Mercedes</t>
  </si>
  <si>
    <t>Club Level</t>
  </si>
  <si>
    <t>Court 13</t>
  </si>
  <si>
    <t xml:space="preserve">ACTUAL RADIO DISTRIBUTION </t>
  </si>
  <si>
    <t>9/4/2023
Amex Day</t>
  </si>
  <si>
    <t>*100 for Amex Day and 33 at radio carts</t>
  </si>
  <si>
    <t xml:space="preserve">*started prospecting </t>
  </si>
  <si>
    <t>(4) boxes additional</t>
  </si>
  <si>
    <t>(2) box additional</t>
  </si>
  <si>
    <t>(1) box additional</t>
  </si>
  <si>
    <t xml:space="preserve">*started at 3pm/no claw/no prospecting </t>
  </si>
  <si>
    <t>LETT CM</t>
  </si>
  <si>
    <t xml:space="preserve">*started at 2pm/no claw/no prospecting </t>
  </si>
  <si>
    <t>DEP</t>
  </si>
  <si>
    <t>CLAW</t>
  </si>
  <si>
    <t>CLICKER</t>
  </si>
  <si>
    <t>Total</t>
  </si>
  <si>
    <r>
      <rPr>
        <rFont val="Arial"/>
        <color theme="1"/>
      </rPr>
      <t>*</t>
    </r>
    <r>
      <rPr>
        <rFont val="Arial"/>
        <i/>
        <color theme="1"/>
      </rPr>
      <t>total number of radios ordered for 2023</t>
    </r>
  </si>
  <si>
    <t>TOTAL</t>
  </si>
  <si>
    <t>Ordered:</t>
  </si>
  <si>
    <t>Left over:</t>
  </si>
  <si>
    <t>Where did:</t>
  </si>
  <si>
    <t xml:space="preserve">Please log any EDITS </t>
  </si>
  <si>
    <t>Break The Love</t>
  </si>
  <si>
    <t>15 AM</t>
  </si>
  <si>
    <t>15 PM</t>
  </si>
  <si>
    <t># of Bags Distributed</t>
  </si>
  <si>
    <t># of Honey Deuce Ice Pops Distributed</t>
  </si>
  <si>
    <t># of Nail 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</si>
</sst>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"/>
  </numFmts>
  <fonts count="32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theme="1"/>
      <name val="Arial"/>
    </font>
    <font/>
    <font>
      <b/>
      <color theme="1"/>
      <name val="Arial"/>
    </font>
    <font>
      <color rgb="FFFFFFFF"/>
      <name val="Arial"/>
    </font>
    <font>
      <b/>
      <u/>
      <color theme="0"/>
      <name val="Arial"/>
    </font>
    <font>
      <b/>
      <u/>
      <color rgb="FFFFFFFF"/>
      <name val="Arial"/>
    </font>
    <font>
      <b/>
      <u/>
      <color theme="1"/>
      <name val="Arial"/>
    </font>
    <font>
      <b/>
      <u/>
      <color theme="1"/>
      <name val="Arial"/>
    </font>
    <font>
      <b/>
      <sz val="12.0"/>
      <color rgb="FFFFFFFF"/>
      <name val="Calibri"/>
    </font>
    <font>
      <sz val="11.0"/>
      <color theme="1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  <font>
      <b/>
      <sz val="11.0"/>
      <color rgb="FF000000"/>
      <name val="Calibri"/>
    </font>
    <font>
      <color theme="1"/>
      <name val="Arial"/>
      <scheme val="minor"/>
    </font>
    <font>
      <b/>
      <sz val="11.0"/>
      <color rgb="FFFFFFFF"/>
      <name val="Calibri"/>
    </font>
    <font>
      <b/>
      <sz val="12.0"/>
      <color theme="1"/>
      <name val="Calibri"/>
    </font>
    <font>
      <color theme="1"/>
      <name val="Arial"/>
    </font>
    <font>
      <sz val="11.0"/>
      <color rgb="FF000000"/>
      <name val="Docs-Calibri"/>
    </font>
    <font>
      <strike/>
      <sz val="11.0"/>
      <color theme="1"/>
      <name val="Calibri"/>
    </font>
    <font>
      <strike/>
      <sz val="11.0"/>
      <color rgb="FF000000"/>
      <name val="Calibri"/>
    </font>
    <font>
      <b/>
      <sz val="12.0"/>
      <color rgb="FFFF0000"/>
      <name val="Calibri"/>
    </font>
    <font>
      <sz val="12.0"/>
      <color rgb="FFFF0000"/>
      <name val="Calibri"/>
    </font>
    <font>
      <sz val="12.0"/>
      <color rgb="FF000000"/>
      <name val="Calibri"/>
    </font>
    <font>
      <sz val="11.0"/>
      <color theme="1"/>
      <name val="Arial"/>
    </font>
    <font>
      <color theme="1"/>
      <name val="-apple-system"/>
    </font>
    <font>
      <sz val="11.0"/>
      <color theme="1"/>
      <name val="-apple-system"/>
    </font>
    <font>
      <sz val="11.0"/>
      <color theme="1"/>
      <name val="Inconsolata"/>
    </font>
    <font>
      <i/>
      <color theme="1"/>
      <name val="Arial"/>
      <scheme val="minor"/>
    </font>
    <font>
      <sz val="10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6D9EEB"/>
        <bgColor rgb="FF6D9EEB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theme="1"/>
        <bgColor theme="1"/>
      </patternFill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3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readingOrder="0" shrinkToFit="0" vertical="center" wrapText="1"/>
    </xf>
    <xf borderId="2" fillId="5" fontId="6" numFmtId="0" xfId="0" applyAlignment="1" applyBorder="1" applyFill="1" applyFont="1">
      <alignment horizontal="center" readingOrder="0" vertical="center"/>
    </xf>
    <xf borderId="2" fillId="6" fontId="7" numFmtId="0" xfId="0" applyAlignment="1" applyBorder="1" applyFill="1" applyFont="1">
      <alignment horizontal="center" vertical="center"/>
    </xf>
    <xf borderId="6" fillId="7" fontId="8" numFmtId="3" xfId="0" applyAlignment="1" applyBorder="1" applyFill="1" applyFont="1" applyNumberFormat="1">
      <alignment horizontal="center" readingOrder="0" vertical="center"/>
    </xf>
    <xf borderId="0" fillId="8" fontId="9" numFmtId="3" xfId="0" applyAlignment="1" applyFill="1" applyFont="1" applyNumberFormat="1">
      <alignment horizontal="center" readingOrder="0" vertical="center"/>
    </xf>
    <xf borderId="7" fillId="0" fontId="3" numFmtId="0" xfId="0" applyBorder="1" applyFont="1"/>
    <xf borderId="5" fillId="0" fontId="4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readingOrder="0" vertical="bottom"/>
    </xf>
    <xf borderId="8" fillId="0" fontId="3" numFmtId="0" xfId="0" applyBorder="1" applyFont="1"/>
    <xf borderId="9" fillId="0" fontId="3" numFmtId="0" xfId="0" applyBorder="1" applyFont="1"/>
    <xf borderId="2" fillId="0" fontId="4" numFmtId="0" xfId="0" applyAlignment="1" applyBorder="1" applyFont="1">
      <alignment horizontal="center" vertical="bottom"/>
    </xf>
    <xf borderId="10" fillId="0" fontId="3" numFmtId="0" xfId="0" applyBorder="1" applyFont="1"/>
    <xf borderId="2" fillId="9" fontId="10" numFmtId="3" xfId="0" applyAlignment="1" applyBorder="1" applyFill="1" applyFont="1" applyNumberFormat="1">
      <alignment horizontal="left" readingOrder="0"/>
    </xf>
    <xf borderId="3" fillId="9" fontId="10" numFmtId="3" xfId="0" applyAlignment="1" applyBorder="1" applyFont="1" applyNumberFormat="1">
      <alignment horizontal="center" readingOrder="0"/>
    </xf>
    <xf borderId="3" fillId="9" fontId="11" numFmtId="3" xfId="0" applyAlignment="1" applyBorder="1" applyFont="1" applyNumberFormat="1">
      <alignment horizontal="center" readingOrder="0"/>
    </xf>
    <xf borderId="11" fillId="9" fontId="11" numFmtId="3" xfId="0" applyAlignment="1" applyBorder="1" applyFont="1" applyNumberFormat="1">
      <alignment horizontal="center" readingOrder="0"/>
    </xf>
    <xf borderId="12" fillId="9" fontId="11" numFmtId="3" xfId="0" applyAlignment="1" applyBorder="1" applyFont="1" applyNumberFormat="1">
      <alignment horizontal="left" readingOrder="0"/>
    </xf>
    <xf borderId="2" fillId="10" fontId="12" numFmtId="3" xfId="0" applyAlignment="1" applyBorder="1" applyFill="1" applyFont="1" applyNumberFormat="1">
      <alignment readingOrder="0" shrinkToFit="0" wrapText="1"/>
    </xf>
    <xf borderId="2" fillId="10" fontId="12" numFmtId="3" xfId="0" applyAlignment="1" applyBorder="1" applyFont="1" applyNumberFormat="1">
      <alignment horizontal="center" readingOrder="0" shrinkToFit="0" wrapText="1"/>
    </xf>
    <xf borderId="3" fillId="10" fontId="11" numFmtId="3" xfId="0" applyAlignment="1" applyBorder="1" applyFont="1" applyNumberFormat="1">
      <alignment horizontal="center" readingOrder="0" shrinkToFit="0" wrapText="1"/>
    </xf>
    <xf borderId="13" fillId="10" fontId="11" numFmtId="3" xfId="0" applyAlignment="1" applyBorder="1" applyFont="1" applyNumberFormat="1">
      <alignment horizontal="center" readingOrder="0" shrinkToFit="0" wrapText="1"/>
    </xf>
    <xf borderId="14" fillId="10" fontId="11" numFmtId="3" xfId="0" applyAlignment="1" applyBorder="1" applyFont="1" applyNumberFormat="1">
      <alignment horizontal="left" readingOrder="0" shrinkToFit="0" wrapText="1"/>
    </xf>
    <xf borderId="5" fillId="11" fontId="13" numFmtId="3" xfId="0" applyAlignment="1" applyBorder="1" applyFill="1" applyFont="1" applyNumberFormat="1">
      <alignment readingOrder="0" shrinkToFit="0" wrapText="1"/>
    </xf>
    <xf borderId="5" fillId="11" fontId="13" numFmtId="3" xfId="0" applyAlignment="1" applyBorder="1" applyFont="1" applyNumberFormat="1">
      <alignment horizontal="center" readingOrder="0" shrinkToFit="0" wrapText="1"/>
    </xf>
    <xf borderId="5" fillId="0" fontId="11" numFmtId="3" xfId="0" applyAlignment="1" applyBorder="1" applyFont="1" applyNumberFormat="1">
      <alignment horizontal="center" vertical="bottom"/>
    </xf>
    <xf borderId="4" fillId="0" fontId="11" numFmtId="3" xfId="0" applyAlignment="1" applyBorder="1" applyFont="1" applyNumberFormat="1">
      <alignment horizontal="center" vertical="bottom"/>
    </xf>
    <xf borderId="2" fillId="0" fontId="11" numFmtId="3" xfId="0" applyAlignment="1" applyBorder="1" applyFont="1" applyNumberFormat="1">
      <alignment horizontal="center" readingOrder="0"/>
    </xf>
    <xf borderId="13" fillId="0" fontId="11" numFmtId="3" xfId="0" applyAlignment="1" applyBorder="1" applyFont="1" applyNumberFormat="1">
      <alignment horizontal="center"/>
    </xf>
    <xf borderId="14" fillId="0" fontId="11" numFmtId="3" xfId="0" applyAlignment="1" applyBorder="1" applyFont="1" applyNumberFormat="1">
      <alignment horizontal="left"/>
    </xf>
    <xf borderId="9" fillId="0" fontId="11" numFmtId="164" xfId="0" applyAlignment="1" applyBorder="1" applyFont="1" applyNumberFormat="1">
      <alignment horizontal="center" vertical="bottom"/>
    </xf>
    <xf borderId="15" fillId="0" fontId="11" numFmtId="164" xfId="0" applyAlignment="1" applyBorder="1" applyFont="1" applyNumberFormat="1">
      <alignment horizontal="center" vertical="bottom"/>
    </xf>
    <xf borderId="15" fillId="0" fontId="11" numFmtId="164" xfId="0" applyAlignment="1" applyBorder="1" applyFont="1" applyNumberFormat="1">
      <alignment horizontal="right" vertical="bottom"/>
    </xf>
    <xf borderId="2" fillId="0" fontId="11" numFmtId="164" xfId="0" applyAlignment="1" applyBorder="1" applyFont="1" applyNumberFormat="1">
      <alignment horizontal="center" readingOrder="0"/>
    </xf>
    <xf borderId="13" fillId="0" fontId="11" numFmtId="164" xfId="0" applyAlignment="1" applyBorder="1" applyFont="1" applyNumberFormat="1">
      <alignment horizontal="center"/>
    </xf>
    <xf borderId="14" fillId="0" fontId="11" numFmtId="3" xfId="0" applyAlignment="1" applyBorder="1" applyFont="1" applyNumberFormat="1">
      <alignment horizontal="left" readingOrder="0"/>
    </xf>
    <xf borderId="5" fillId="0" fontId="11" numFmtId="3" xfId="0" applyAlignment="1" applyBorder="1" applyFont="1" applyNumberFormat="1">
      <alignment horizontal="left" readingOrder="0" vertical="top"/>
    </xf>
    <xf borderId="9" fillId="0" fontId="11" numFmtId="3" xfId="0" applyAlignment="1" applyBorder="1" applyFont="1" applyNumberFormat="1">
      <alignment horizontal="center" vertical="bottom"/>
    </xf>
    <xf borderId="15" fillId="0" fontId="11" numFmtId="3" xfId="0" applyAlignment="1" applyBorder="1" applyFont="1" applyNumberFormat="1">
      <alignment horizontal="center" vertical="bottom"/>
    </xf>
    <xf borderId="14" fillId="0" fontId="11" numFmtId="3" xfId="0" applyAlignment="1" applyBorder="1" applyFont="1" applyNumberFormat="1">
      <alignment readingOrder="0"/>
    </xf>
    <xf borderId="1" fillId="0" fontId="11" numFmtId="3" xfId="0" applyAlignment="1" applyBorder="1" applyFont="1" applyNumberFormat="1">
      <alignment horizontal="left" readingOrder="0" vertical="top"/>
    </xf>
    <xf borderId="9" fillId="0" fontId="11" numFmtId="9" xfId="0" applyAlignment="1" applyBorder="1" applyFont="1" applyNumberFormat="1">
      <alignment horizontal="center" vertical="bottom"/>
    </xf>
    <xf borderId="15" fillId="0" fontId="11" numFmtId="9" xfId="0" applyAlignment="1" applyBorder="1" applyFont="1" applyNumberFormat="1">
      <alignment horizontal="center" vertical="bottom"/>
    </xf>
    <xf borderId="2" fillId="0" fontId="11" numFmtId="9" xfId="0" applyAlignment="1" applyBorder="1" applyFont="1" applyNumberFormat="1">
      <alignment horizontal="center" readingOrder="0"/>
    </xf>
    <xf borderId="13" fillId="0" fontId="11" numFmtId="3" xfId="0" applyAlignment="1" applyBorder="1" applyFont="1" applyNumberFormat="1">
      <alignment horizontal="center" readingOrder="0"/>
    </xf>
    <xf borderId="1" fillId="0" fontId="13" numFmtId="3" xfId="0" applyAlignment="1" applyBorder="1" applyFont="1" applyNumberFormat="1">
      <alignment horizontal="left" readingOrder="0" vertical="top"/>
    </xf>
    <xf borderId="2" fillId="0" fontId="13" numFmtId="164" xfId="0" applyAlignment="1" applyBorder="1" applyFont="1" applyNumberFormat="1">
      <alignment horizontal="center" readingOrder="0"/>
    </xf>
    <xf borderId="13" fillId="0" fontId="13" numFmtId="164" xfId="0" applyAlignment="1" applyBorder="1" applyFont="1" applyNumberFormat="1">
      <alignment horizontal="center"/>
    </xf>
    <xf borderId="14" fillId="0" fontId="14" numFmtId="3" xfId="0" applyAlignment="1" applyBorder="1" applyFont="1" applyNumberFormat="1">
      <alignment horizontal="left" readingOrder="0"/>
    </xf>
    <xf borderId="2" fillId="0" fontId="11" numFmtId="0" xfId="0" applyAlignment="1" applyBorder="1" applyFont="1">
      <alignment horizontal="center" readingOrder="0"/>
    </xf>
    <xf borderId="4" fillId="0" fontId="11" numFmtId="3" xfId="0" applyAlignment="1" applyBorder="1" applyFont="1" applyNumberFormat="1">
      <alignment horizontal="left" readingOrder="0"/>
    </xf>
    <xf borderId="5" fillId="0" fontId="13" numFmtId="3" xfId="0" applyAlignment="1" applyBorder="1" applyFont="1" applyNumberFormat="1">
      <alignment horizontal="left" readingOrder="0"/>
    </xf>
    <xf borderId="5" fillId="12" fontId="13" numFmtId="3" xfId="0" applyAlignment="1" applyBorder="1" applyFill="1" applyFont="1" applyNumberFormat="1">
      <alignment horizontal="center" readingOrder="0"/>
    </xf>
    <xf borderId="5" fillId="0" fontId="13" numFmtId="3" xfId="0" applyAlignment="1" applyBorder="1" applyFont="1" applyNumberFormat="1">
      <alignment horizontal="center" readingOrder="0"/>
    </xf>
    <xf borderId="5" fillId="0" fontId="15" numFmtId="3" xfId="0" applyAlignment="1" applyBorder="1" applyFont="1" applyNumberFormat="1">
      <alignment horizontal="center" readingOrder="0"/>
    </xf>
    <xf borderId="2" fillId="0" fontId="13" numFmtId="3" xfId="0" applyAlignment="1" applyBorder="1" applyFont="1" applyNumberFormat="1">
      <alignment horizontal="center" readingOrder="0"/>
    </xf>
    <xf borderId="16" fillId="0" fontId="13" numFmtId="3" xfId="0" applyAlignment="1" applyBorder="1" applyFont="1" applyNumberFormat="1">
      <alignment horizontal="center" readingOrder="0"/>
    </xf>
    <xf borderId="4" fillId="0" fontId="13" numFmtId="3" xfId="0" applyAlignment="1" applyBorder="1" applyFont="1" applyNumberFormat="1">
      <alignment horizontal="left" readingOrder="0"/>
    </xf>
    <xf borderId="16" fillId="9" fontId="11" numFmtId="3" xfId="0" applyAlignment="1" applyBorder="1" applyFont="1" applyNumberFormat="1">
      <alignment horizontal="center" readingOrder="0"/>
    </xf>
    <xf borderId="15" fillId="9" fontId="11" numFmtId="3" xfId="0" applyAlignment="1" applyBorder="1" applyFont="1" applyNumberFormat="1">
      <alignment horizontal="left" readingOrder="0"/>
    </xf>
    <xf borderId="5" fillId="11" fontId="13" numFmtId="3" xfId="0" applyAlignment="1" applyBorder="1" applyFont="1" applyNumberFormat="1">
      <alignment readingOrder="0"/>
    </xf>
    <xf borderId="4" fillId="4" fontId="11" numFmtId="3" xfId="0" applyAlignment="1" applyBorder="1" applyFont="1" applyNumberFormat="1">
      <alignment horizontal="center" readingOrder="0" shrinkToFit="0" wrapText="1"/>
    </xf>
    <xf borderId="4" fillId="0" fontId="11" numFmtId="3" xfId="0" applyAlignment="1" applyBorder="1" applyFont="1" applyNumberFormat="1">
      <alignment horizontal="center" readingOrder="0" shrinkToFit="0" wrapText="1"/>
    </xf>
    <xf borderId="14" fillId="0" fontId="11" numFmtId="0" xfId="0" applyAlignment="1" applyBorder="1" applyFont="1">
      <alignment horizontal="left" readingOrder="0"/>
    </xf>
    <xf borderId="5" fillId="0" fontId="11" numFmtId="3" xfId="0" applyAlignment="1" applyBorder="1" applyFont="1" applyNumberFormat="1">
      <alignment readingOrder="0"/>
    </xf>
    <xf borderId="5" fillId="13" fontId="11" numFmtId="3" xfId="0" applyAlignment="1" applyBorder="1" applyFill="1" applyFont="1" applyNumberFormat="1">
      <alignment horizontal="center"/>
    </xf>
    <xf borderId="5" fillId="0" fontId="11" numFmtId="3" xfId="0" applyAlignment="1" applyBorder="1" applyFont="1" applyNumberFormat="1">
      <alignment horizontal="center" readingOrder="0"/>
    </xf>
    <xf borderId="5" fillId="4" fontId="11" numFmtId="3" xfId="0" applyAlignment="1" applyBorder="1" applyFont="1" applyNumberFormat="1">
      <alignment horizontal="center"/>
    </xf>
    <xf borderId="4" fillId="13" fontId="11" numFmtId="3" xfId="0" applyAlignment="1" applyBorder="1" applyFont="1" applyNumberFormat="1">
      <alignment horizontal="center" readingOrder="0" shrinkToFit="0" wrapText="1"/>
    </xf>
    <xf borderId="17" fillId="0" fontId="11" numFmtId="3" xfId="0" applyAlignment="1" applyBorder="1" applyFont="1" applyNumberFormat="1">
      <alignment horizontal="left"/>
    </xf>
    <xf borderId="5" fillId="0" fontId="16" numFmtId="3" xfId="0" applyAlignment="1" applyBorder="1" applyFont="1" applyNumberFormat="1">
      <alignment readingOrder="0" shrinkToFit="0" wrapText="1"/>
    </xf>
    <xf borderId="5" fillId="0" fontId="16" numFmtId="3" xfId="0" applyBorder="1" applyFont="1" applyNumberFormat="1"/>
    <xf borderId="5" fillId="0" fontId="16" numFmtId="3" xfId="0" applyAlignment="1" applyBorder="1" applyFont="1" applyNumberFormat="1">
      <alignment readingOrder="0"/>
    </xf>
    <xf borderId="5" fillId="0" fontId="16" numFmtId="3" xfId="0" applyAlignment="1" applyBorder="1" applyFont="1" applyNumberFormat="1">
      <alignment horizontal="left"/>
    </xf>
    <xf borderId="0" fillId="0" fontId="17" numFmtId="3" xfId="0" applyAlignment="1" applyFont="1" applyNumberFormat="1">
      <alignment horizontal="left" readingOrder="0"/>
    </xf>
    <xf borderId="0" fillId="0" fontId="17" numFmtId="3" xfId="0" applyAlignment="1" applyFont="1" applyNumberFormat="1">
      <alignment horizontal="center" readingOrder="0"/>
    </xf>
    <xf borderId="0" fillId="0" fontId="11" numFmtId="3" xfId="0" applyAlignment="1" applyFont="1" applyNumberFormat="1">
      <alignment horizontal="center" readingOrder="0"/>
    </xf>
    <xf borderId="18" fillId="0" fontId="11" numFmtId="3" xfId="0" applyAlignment="1" applyBorder="1" applyFont="1" applyNumberFormat="1">
      <alignment horizontal="center" readingOrder="0"/>
    </xf>
    <xf borderId="19" fillId="0" fontId="11" numFmtId="3" xfId="0" applyAlignment="1" applyBorder="1" applyFont="1" applyNumberFormat="1">
      <alignment horizontal="left" readingOrder="0"/>
    </xf>
    <xf borderId="13" fillId="9" fontId="11" numFmtId="3" xfId="0" applyAlignment="1" applyBorder="1" applyFont="1" applyNumberFormat="1">
      <alignment horizontal="center" readingOrder="0"/>
    </xf>
    <xf borderId="20" fillId="9" fontId="11" numFmtId="3" xfId="0" applyAlignment="1" applyBorder="1" applyFont="1" applyNumberFormat="1">
      <alignment horizontal="left" readingOrder="0"/>
    </xf>
    <xf borderId="3" fillId="10" fontId="12" numFmtId="3" xfId="0" applyAlignment="1" applyBorder="1" applyFont="1" applyNumberFormat="1">
      <alignment horizontal="center" readingOrder="0" shrinkToFit="0" wrapText="1"/>
    </xf>
    <xf borderId="19" fillId="10" fontId="11" numFmtId="3" xfId="0" applyAlignment="1" applyBorder="1" applyFont="1" applyNumberFormat="1">
      <alignment horizontal="center" readingOrder="0" shrinkToFit="0" wrapText="1"/>
    </xf>
    <xf borderId="5" fillId="14" fontId="13" numFmtId="3" xfId="0" applyAlignment="1" applyBorder="1" applyFill="1" applyFont="1" applyNumberFormat="1">
      <alignment horizontal="center" readingOrder="0"/>
    </xf>
    <xf borderId="5" fillId="11" fontId="13" numFmtId="3" xfId="0" applyAlignment="1" applyBorder="1" applyFont="1" applyNumberFormat="1">
      <alignment horizontal="center" readingOrder="0"/>
    </xf>
    <xf borderId="4" fillId="13" fontId="11" numFmtId="3" xfId="0" applyAlignment="1" applyBorder="1" applyFont="1" applyNumberFormat="1">
      <alignment horizontal="center"/>
    </xf>
    <xf borderId="4" fillId="0" fontId="11" numFmtId="3" xfId="0" applyAlignment="1" applyBorder="1" applyFont="1" applyNumberFormat="1">
      <alignment horizontal="center" readingOrder="0"/>
    </xf>
    <xf borderId="3" fillId="0" fontId="11" numFmtId="3" xfId="0" applyAlignment="1" applyBorder="1" applyFont="1" applyNumberFormat="1">
      <alignment horizontal="center" readingOrder="0"/>
    </xf>
    <xf borderId="4" fillId="4" fontId="11" numFmtId="3" xfId="0" applyAlignment="1" applyBorder="1" applyFont="1" applyNumberFormat="1">
      <alignment horizontal="center"/>
    </xf>
    <xf borderId="4" fillId="0" fontId="11" numFmtId="3" xfId="0" applyAlignment="1" applyBorder="1" applyFont="1" applyNumberFormat="1">
      <alignment horizontal="center"/>
    </xf>
    <xf borderId="3" fillId="0" fontId="11" numFmtId="3" xfId="0" applyAlignment="1" applyBorder="1" applyFont="1" applyNumberFormat="1">
      <alignment horizontal="center"/>
    </xf>
    <xf borderId="15" fillId="13" fontId="11" numFmtId="3" xfId="0" applyAlignment="1" applyBorder="1" applyFont="1" applyNumberFormat="1">
      <alignment horizontal="center"/>
    </xf>
    <xf borderId="15" fillId="0" fontId="11" numFmtId="3" xfId="0" applyAlignment="1" applyBorder="1" applyFont="1" applyNumberFormat="1">
      <alignment horizontal="center"/>
    </xf>
    <xf borderId="21" fillId="0" fontId="11" numFmtId="3" xfId="0" applyAlignment="1" applyBorder="1" applyFont="1" applyNumberFormat="1">
      <alignment horizontal="center"/>
    </xf>
    <xf borderId="12" fillId="0" fontId="11" numFmtId="3" xfId="0" applyAlignment="1" applyBorder="1" applyFont="1" applyNumberFormat="1">
      <alignment horizontal="left"/>
    </xf>
    <xf borderId="2" fillId="10" fontId="18" numFmtId="3" xfId="0" applyAlignment="1" applyBorder="1" applyFont="1" applyNumberFormat="1">
      <alignment readingOrder="0" shrinkToFit="0" vertical="bottom" wrapText="1"/>
    </xf>
    <xf borderId="3" fillId="10" fontId="19" numFmtId="3" xfId="0" applyAlignment="1" applyBorder="1" applyFont="1" applyNumberFormat="1">
      <alignment vertical="bottom"/>
    </xf>
    <xf borderId="21" fillId="0" fontId="11" numFmtId="3" xfId="0" applyAlignment="1" applyBorder="1" applyFont="1" applyNumberFormat="1">
      <alignment horizontal="center" readingOrder="0"/>
    </xf>
    <xf borderId="21" fillId="0" fontId="3" numFmtId="0" xfId="0" applyBorder="1" applyFont="1"/>
    <xf borderId="15" fillId="0" fontId="3" numFmtId="0" xfId="0" applyBorder="1" applyFont="1"/>
    <xf borderId="22" fillId="10" fontId="19" numFmtId="3" xfId="0" applyAlignment="1" applyBorder="1" applyFont="1" applyNumberFormat="1">
      <alignment vertical="bottom"/>
    </xf>
    <xf borderId="4" fillId="10" fontId="19" numFmtId="3" xfId="0" applyAlignment="1" applyBorder="1" applyFont="1" applyNumberFormat="1">
      <alignment vertical="bottom"/>
    </xf>
    <xf borderId="9" fillId="11" fontId="11" numFmtId="3" xfId="0" applyAlignment="1" applyBorder="1" applyFont="1" applyNumberFormat="1">
      <alignment vertical="bottom"/>
    </xf>
    <xf borderId="15" fillId="12" fontId="14" numFmtId="3" xfId="0" applyAlignment="1" applyBorder="1" applyFont="1" applyNumberFormat="1">
      <alignment horizontal="center" vertical="bottom"/>
    </xf>
    <xf borderId="15" fillId="4" fontId="19" numFmtId="3" xfId="0" applyAlignment="1" applyBorder="1" applyFont="1" applyNumberFormat="1">
      <alignment vertical="bottom"/>
    </xf>
    <xf borderId="15" fillId="0" fontId="19" numFmtId="3" xfId="0" applyAlignment="1" applyBorder="1" applyFont="1" applyNumberFormat="1">
      <alignment readingOrder="0" vertical="bottom"/>
    </xf>
    <xf borderId="23" fillId="0" fontId="19" numFmtId="3" xfId="0" applyAlignment="1" applyBorder="1" applyFont="1" applyNumberFormat="1">
      <alignment readingOrder="0" vertical="bottom"/>
    </xf>
    <xf borderId="23" fillId="0" fontId="11" numFmtId="3" xfId="0" applyAlignment="1" applyBorder="1" applyFont="1" applyNumberFormat="1">
      <alignment horizontal="center" vertical="bottom"/>
    </xf>
    <xf borderId="24" fillId="0" fontId="11" numFmtId="3" xfId="0" applyAlignment="1" applyBorder="1" applyFont="1" applyNumberFormat="1">
      <alignment horizontal="left" readingOrder="0"/>
    </xf>
    <xf borderId="5" fillId="9" fontId="10" numFmtId="3" xfId="0" applyAlignment="1" applyBorder="1" applyFont="1" applyNumberFormat="1">
      <alignment horizontal="left" readingOrder="0"/>
    </xf>
    <xf borderId="5" fillId="9" fontId="10" numFmtId="3" xfId="0" applyAlignment="1" applyBorder="1" applyFont="1" applyNumberFormat="1">
      <alignment horizontal="center" readingOrder="0"/>
    </xf>
    <xf borderId="5" fillId="0" fontId="11" numFmtId="3" xfId="0" applyAlignment="1" applyBorder="1" applyFont="1" applyNumberFormat="1">
      <alignment readingOrder="0" shrinkToFit="0" wrapText="1"/>
    </xf>
    <xf borderId="5" fillId="12" fontId="11" numFmtId="3" xfId="0" applyAlignment="1" applyBorder="1" applyFont="1" applyNumberFormat="1">
      <alignment horizontal="center" readingOrder="0" shrinkToFit="0" wrapText="1"/>
    </xf>
    <xf borderId="4" fillId="3" fontId="11" numFmtId="3" xfId="0" applyAlignment="1" applyBorder="1" applyFont="1" applyNumberFormat="1">
      <alignment horizontal="center" readingOrder="0" shrinkToFit="0" wrapText="1"/>
    </xf>
    <xf borderId="5" fillId="11" fontId="20" numFmtId="3" xfId="0" applyAlignment="1" applyBorder="1" applyFont="1" applyNumberFormat="1">
      <alignment horizontal="center" readingOrder="0"/>
    </xf>
    <xf borderId="4" fillId="11" fontId="11" numFmtId="3" xfId="0" applyAlignment="1" applyBorder="1" applyFont="1" applyNumberFormat="1">
      <alignment horizontal="center" readingOrder="0" shrinkToFit="0" wrapText="1"/>
    </xf>
    <xf borderId="5" fillId="11" fontId="11" numFmtId="3" xfId="0" applyAlignment="1" applyBorder="1" applyFont="1" applyNumberFormat="1">
      <alignment horizontal="center" readingOrder="0" shrinkToFit="0" wrapText="1"/>
    </xf>
    <xf borderId="5" fillId="10" fontId="18" numFmtId="3" xfId="0" applyAlignment="1" applyBorder="1" applyFont="1" applyNumberFormat="1">
      <alignment readingOrder="0" shrinkToFit="0" wrapText="1"/>
    </xf>
    <xf borderId="5" fillId="10" fontId="18" numFmtId="3" xfId="0" applyAlignment="1" applyBorder="1" applyFont="1" applyNumberFormat="1">
      <alignment horizontal="center" readingOrder="0" shrinkToFit="0" wrapText="1"/>
    </xf>
    <xf borderId="2" fillId="10" fontId="11" numFmtId="3" xfId="0" applyAlignment="1" applyBorder="1" applyFont="1" applyNumberFormat="1">
      <alignment horizontal="center" readingOrder="0" shrinkToFit="0" wrapText="1"/>
    </xf>
    <xf borderId="5" fillId="11" fontId="11" numFmtId="3" xfId="0" applyAlignment="1" applyBorder="1" applyFont="1" applyNumberFormat="1">
      <alignment readingOrder="0"/>
    </xf>
    <xf borderId="5" fillId="12" fontId="11" numFmtId="3" xfId="0" applyAlignment="1" applyBorder="1" applyFont="1" applyNumberFormat="1">
      <alignment horizontal="center" readingOrder="0"/>
    </xf>
    <xf borderId="5" fillId="13" fontId="11" numFmtId="3" xfId="0" applyAlignment="1" applyBorder="1" applyFont="1" applyNumberFormat="1">
      <alignment horizontal="center" readingOrder="0"/>
    </xf>
    <xf borderId="5" fillId="0" fontId="11" numFmtId="3" xfId="0" applyAlignment="1" applyBorder="1" applyFont="1" applyNumberFormat="1">
      <alignment horizontal="left" readingOrder="0"/>
    </xf>
    <xf borderId="5" fillId="4" fontId="11" numFmtId="3" xfId="0" applyAlignment="1" applyBorder="1" applyFont="1" applyNumberFormat="1">
      <alignment horizontal="center" readingOrder="0"/>
    </xf>
    <xf borderId="16" fillId="0" fontId="11" numFmtId="3" xfId="0" applyAlignment="1" applyBorder="1" applyFont="1" applyNumberFormat="1">
      <alignment horizontal="center" readingOrder="0"/>
    </xf>
    <xf borderId="25" fillId="0" fontId="11" numFmtId="3" xfId="0" applyAlignment="1" applyBorder="1" applyFont="1" applyNumberFormat="1">
      <alignment horizontal="left" readingOrder="0"/>
    </xf>
    <xf borderId="2" fillId="0" fontId="11" numFmtId="3" xfId="0" applyAlignment="1" applyBorder="1" applyFont="1" applyNumberFormat="1">
      <alignment readingOrder="0" shrinkToFit="0" wrapText="1"/>
    </xf>
    <xf borderId="14" fillId="15" fontId="11" numFmtId="3" xfId="0" applyAlignment="1" applyBorder="1" applyFill="1" applyFont="1" applyNumberFormat="1">
      <alignment horizontal="left" readingOrder="0"/>
    </xf>
    <xf borderId="5" fillId="0" fontId="21" numFmtId="3" xfId="0" applyAlignment="1" applyBorder="1" applyFont="1" applyNumberFormat="1">
      <alignment readingOrder="0" shrinkToFit="0" wrapText="1"/>
    </xf>
    <xf borderId="5" fillId="11" fontId="22" numFmtId="3" xfId="0" applyAlignment="1" applyBorder="1" applyFont="1" applyNumberFormat="1">
      <alignment horizontal="center" readingOrder="0"/>
    </xf>
    <xf borderId="4" fillId="13" fontId="21" numFmtId="3" xfId="0" applyAlignment="1" applyBorder="1" applyFont="1" applyNumberFormat="1">
      <alignment horizontal="center" readingOrder="0" shrinkToFit="0" wrapText="1"/>
    </xf>
    <xf borderId="4" fillId="0" fontId="21" numFmtId="3" xfId="0" applyAlignment="1" applyBorder="1" applyFont="1" applyNumberFormat="1">
      <alignment horizontal="center" readingOrder="0" shrinkToFit="0" wrapText="1"/>
    </xf>
    <xf borderId="3" fillId="0" fontId="21" numFmtId="3" xfId="0" applyAlignment="1" applyBorder="1" applyFont="1" applyNumberFormat="1">
      <alignment horizontal="center" readingOrder="0" shrinkToFit="0" wrapText="1"/>
    </xf>
    <xf borderId="13" fillId="0" fontId="21" numFmtId="3" xfId="0" applyAlignment="1" applyBorder="1" applyFont="1" applyNumberFormat="1">
      <alignment horizontal="center"/>
    </xf>
    <xf borderId="14" fillId="0" fontId="21" numFmtId="3" xfId="0" applyAlignment="1" applyBorder="1" applyFont="1" applyNumberFormat="1">
      <alignment horizontal="left"/>
    </xf>
    <xf borderId="2" fillId="10" fontId="23" numFmtId="3" xfId="0" applyAlignment="1" applyBorder="1" applyFont="1" applyNumberFormat="1">
      <alignment readingOrder="0" shrinkToFit="0" wrapText="1"/>
    </xf>
    <xf borderId="4" fillId="10" fontId="14" numFmtId="3" xfId="0" applyAlignment="1" applyBorder="1" applyFont="1" applyNumberFormat="1">
      <alignment horizontal="center" readingOrder="0" shrinkToFit="0" wrapText="1"/>
    </xf>
    <xf borderId="3" fillId="10" fontId="14" numFmtId="3" xfId="0" applyAlignment="1" applyBorder="1" applyFont="1" applyNumberFormat="1">
      <alignment horizontal="center" readingOrder="0" shrinkToFit="0" wrapText="1"/>
    </xf>
    <xf borderId="13" fillId="10" fontId="14" numFmtId="3" xfId="0" applyAlignment="1" applyBorder="1" applyFont="1" applyNumberFormat="1">
      <alignment horizontal="center" readingOrder="0" shrinkToFit="0" wrapText="1"/>
    </xf>
    <xf borderId="14" fillId="10" fontId="14" numFmtId="3" xfId="0" applyAlignment="1" applyBorder="1" applyFont="1" applyNumberFormat="1">
      <alignment horizontal="left" readingOrder="0" shrinkToFit="0" wrapText="1"/>
    </xf>
    <xf borderId="2" fillId="0" fontId="24" numFmtId="3" xfId="0" applyAlignment="1" applyBorder="1" applyFont="1" applyNumberFormat="1">
      <alignment readingOrder="0" shrinkToFit="0" wrapText="1"/>
    </xf>
    <xf borderId="5" fillId="12" fontId="14" numFmtId="3" xfId="0" applyAlignment="1" applyBorder="1" applyFont="1" applyNumberFormat="1">
      <alignment horizontal="center" readingOrder="0" shrinkToFit="0" wrapText="1"/>
    </xf>
    <xf borderId="4" fillId="13" fontId="14" numFmtId="3" xfId="0" applyAlignment="1" applyBorder="1" applyFont="1" applyNumberFormat="1">
      <alignment horizontal="center" readingOrder="0" shrinkToFit="0" wrapText="1"/>
    </xf>
    <xf borderId="5" fillId="0" fontId="14" numFmtId="3" xfId="0" applyAlignment="1" applyBorder="1" applyFont="1" applyNumberFormat="1">
      <alignment horizontal="center" readingOrder="0"/>
    </xf>
    <xf borderId="13" fillId="0" fontId="14" numFmtId="3" xfId="0" applyAlignment="1" applyBorder="1" applyFont="1" applyNumberFormat="1">
      <alignment horizontal="center"/>
    </xf>
    <xf borderId="14" fillId="0" fontId="14" numFmtId="3" xfId="0" applyAlignment="1" applyBorder="1" applyFont="1" applyNumberFormat="1">
      <alignment horizontal="left" readingOrder="0" shrinkToFit="0" wrapText="1"/>
    </xf>
    <xf borderId="2" fillId="0" fontId="25" numFmtId="3" xfId="0" applyAlignment="1" applyBorder="1" applyFont="1" applyNumberFormat="1">
      <alignment readingOrder="0" shrinkToFit="0" wrapText="1"/>
    </xf>
    <xf borderId="3" fillId="0" fontId="25" numFmtId="3" xfId="0" applyAlignment="1" applyBorder="1" applyFont="1" applyNumberFormat="1">
      <alignment horizontal="center" readingOrder="0" shrinkToFit="0" wrapText="1"/>
    </xf>
    <xf borderId="3" fillId="0" fontId="11" numFmtId="3" xfId="0" applyAlignment="1" applyBorder="1" applyFont="1" applyNumberFormat="1">
      <alignment horizontal="center" readingOrder="0" shrinkToFit="0" wrapText="1"/>
    </xf>
    <xf borderId="13" fillId="0" fontId="11" numFmtId="3" xfId="0" applyAlignment="1" applyBorder="1" applyFont="1" applyNumberFormat="1">
      <alignment horizontal="center" readingOrder="0" shrinkToFit="0" wrapText="1"/>
    </xf>
    <xf borderId="14" fillId="0" fontId="11" numFmtId="3" xfId="0" applyAlignment="1" applyBorder="1" applyFont="1" applyNumberFormat="1">
      <alignment horizontal="left" readingOrder="0" shrinkToFit="0" wrapText="1"/>
    </xf>
    <xf borderId="3" fillId="0" fontId="25" numFmtId="3" xfId="0" applyAlignment="1" applyBorder="1" applyFont="1" applyNumberFormat="1">
      <alignment horizontal="center" readingOrder="0" shrinkToFit="0" wrapText="1"/>
    </xf>
    <xf borderId="5" fillId="16" fontId="11" numFmtId="3" xfId="0" applyAlignment="1" applyBorder="1" applyFill="1" applyFont="1" applyNumberFormat="1">
      <alignment horizontal="center" readingOrder="0"/>
    </xf>
    <xf borderId="2" fillId="0" fontId="25" numFmtId="3" xfId="0" applyAlignment="1" applyBorder="1" applyFont="1" applyNumberFormat="1">
      <alignment readingOrder="0" shrinkToFit="0" wrapText="1"/>
    </xf>
    <xf borderId="0" fillId="11" fontId="13" numFmtId="3" xfId="0" applyAlignment="1" applyFont="1" applyNumberFormat="1">
      <alignment horizontal="left" readingOrder="0"/>
    </xf>
    <xf borderId="2" fillId="11" fontId="13" numFmtId="3" xfId="0" applyAlignment="1" applyBorder="1" applyFont="1" applyNumberFormat="1">
      <alignment readingOrder="0"/>
    </xf>
    <xf borderId="3" fillId="11" fontId="13" numFmtId="3" xfId="0" applyAlignment="1" applyBorder="1" applyFont="1" applyNumberFormat="1">
      <alignment horizontal="center" readingOrder="0"/>
    </xf>
    <xf borderId="5" fillId="11" fontId="13" numFmtId="3" xfId="0" applyAlignment="1" applyBorder="1" applyFont="1" applyNumberFormat="1">
      <alignment readingOrder="0" vertical="center"/>
    </xf>
    <xf borderId="5" fillId="11" fontId="13" numFmtId="3" xfId="0" applyAlignment="1" applyBorder="1" applyFont="1" applyNumberFormat="1">
      <alignment horizontal="center" readingOrder="0" vertical="center"/>
    </xf>
    <xf borderId="5" fillId="13" fontId="11" numFmtId="3" xfId="0" applyAlignment="1" applyBorder="1" applyFont="1" applyNumberFormat="1">
      <alignment horizontal="center" vertical="center"/>
    </xf>
    <xf borderId="5" fillId="0" fontId="11" numFmtId="3" xfId="0" applyAlignment="1" applyBorder="1" applyFont="1" applyNumberFormat="1">
      <alignment horizontal="center" readingOrder="0" vertical="center"/>
    </xf>
    <xf borderId="13" fillId="0" fontId="11" numFmtId="3" xfId="0" applyAlignment="1" applyBorder="1" applyFont="1" applyNumberFormat="1">
      <alignment horizontal="center" vertical="center"/>
    </xf>
    <xf borderId="17" fillId="0" fontId="11" numFmtId="3" xfId="0" applyAlignment="1" applyBorder="1" applyFont="1" applyNumberFormat="1">
      <alignment horizontal="left" readingOrder="0" vertical="center"/>
    </xf>
    <xf borderId="0" fillId="0" fontId="11" numFmtId="3" xfId="0" applyAlignment="1" applyFont="1" applyNumberFormat="1">
      <alignment horizontal="left" readingOrder="0"/>
    </xf>
    <xf borderId="8" fillId="0" fontId="11" numFmtId="3" xfId="0" applyAlignment="1" applyBorder="1" applyFont="1" applyNumberFormat="1">
      <alignment horizontal="center" readingOrder="0"/>
    </xf>
    <xf borderId="21" fillId="0" fontId="11" numFmtId="3" xfId="0" applyAlignment="1" applyBorder="1" applyFont="1" applyNumberFormat="1">
      <alignment horizontal="left" readingOrder="0"/>
    </xf>
    <xf borderId="2" fillId="13" fontId="11" numFmtId="3" xfId="0" applyAlignment="1" applyBorder="1" applyFont="1" applyNumberFormat="1">
      <alignment horizontal="center"/>
    </xf>
    <xf borderId="2" fillId="13" fontId="11" numFmtId="3" xfId="0" applyAlignment="1" applyBorder="1" applyFont="1" applyNumberFormat="1">
      <alignment horizontal="center" vertical="center"/>
    </xf>
    <xf borderId="14" fillId="0" fontId="11" numFmtId="3" xfId="0" applyAlignment="1" applyBorder="1" applyFont="1" applyNumberFormat="1">
      <alignment horizontal="left" vertical="center"/>
    </xf>
    <xf borderId="5" fillId="0" fontId="11" numFmtId="3" xfId="0" applyAlignment="1" applyBorder="1" applyFont="1" applyNumberFormat="1">
      <alignment readingOrder="0" shrinkToFit="0" vertical="center" wrapText="1"/>
    </xf>
    <xf borderId="26" fillId="0" fontId="11" numFmtId="3" xfId="0" applyAlignment="1" applyBorder="1" applyFont="1" applyNumberFormat="1">
      <alignment horizontal="center" vertical="center"/>
    </xf>
    <xf borderId="0" fillId="0" fontId="16" numFmtId="3" xfId="0" applyFont="1" applyNumberFormat="1"/>
    <xf borderId="0" fillId="0" fontId="16" numFmtId="3" xfId="0" applyAlignment="1" applyFont="1" applyNumberFormat="1">
      <alignment horizontal="center"/>
    </xf>
    <xf borderId="0" fillId="0" fontId="16" numFmtId="3" xfId="0" applyAlignment="1" applyFont="1" applyNumberFormat="1">
      <alignment horizontal="center" readingOrder="0"/>
    </xf>
    <xf borderId="0" fillId="0" fontId="16" numFmtId="3" xfId="0" applyAlignment="1" applyFont="1" applyNumberFormat="1">
      <alignment horizontal="left"/>
    </xf>
    <xf borderId="2" fillId="17" fontId="1" numFmtId="3" xfId="0" applyAlignment="1" applyBorder="1" applyFill="1" applyFont="1" applyNumberFormat="1">
      <alignment horizontal="center" readingOrder="0"/>
    </xf>
    <xf borderId="27" fillId="0" fontId="16" numFmtId="3" xfId="0" applyAlignment="1" applyBorder="1" applyFont="1" applyNumberFormat="1">
      <alignment horizontal="center" readingOrder="0"/>
    </xf>
    <xf borderId="5" fillId="0" fontId="16" numFmtId="3" xfId="0" applyAlignment="1" applyBorder="1" applyFont="1" applyNumberFormat="1">
      <alignment horizontal="center"/>
    </xf>
    <xf borderId="5" fillId="0" fontId="16" numFmtId="3" xfId="0" applyAlignment="1" applyBorder="1" applyFont="1" applyNumberFormat="1">
      <alignment horizontal="center" readingOrder="0"/>
    </xf>
    <xf borderId="21" fillId="0" fontId="1" numFmtId="3" xfId="0" applyAlignment="1" applyBorder="1" applyFont="1" applyNumberFormat="1">
      <alignment horizontal="center" readingOrder="0"/>
    </xf>
    <xf borderId="15" fillId="0" fontId="16" numFmtId="3" xfId="0" applyAlignment="1" applyBorder="1" applyFont="1" applyNumberFormat="1">
      <alignment horizontal="center" readingOrder="0"/>
    </xf>
    <xf borderId="21" fillId="0" fontId="16" numFmtId="3" xfId="0" applyAlignment="1" applyBorder="1" applyFont="1" applyNumberFormat="1">
      <alignment horizontal="center"/>
    </xf>
    <xf borderId="2" fillId="0" fontId="26" numFmtId="0" xfId="0" applyAlignment="1" applyBorder="1" applyFont="1">
      <alignment horizontal="center" readingOrder="0"/>
    </xf>
    <xf borderId="2" fillId="0" fontId="27" numFmtId="165" xfId="0" applyAlignment="1" applyBorder="1" applyFont="1" applyNumberFormat="1">
      <alignment horizontal="center" readingOrder="0" vertical="bottom"/>
    </xf>
    <xf borderId="28" fillId="0" fontId="28" numFmtId="0" xfId="0" applyAlignment="1" applyBorder="1" applyFont="1">
      <alignment readingOrder="0" vertical="bottom"/>
    </xf>
    <xf borderId="5" fillId="0" fontId="16" numFmtId="165" xfId="0" applyAlignment="1" applyBorder="1" applyFont="1" applyNumberFormat="1">
      <alignment horizontal="center" readingOrder="0"/>
    </xf>
    <xf borderId="29" fillId="0" fontId="16" numFmtId="3" xfId="0" applyAlignment="1" applyBorder="1" applyFont="1" applyNumberFormat="1">
      <alignment horizontal="center" readingOrder="0"/>
    </xf>
    <xf borderId="1" fillId="0" fontId="16" numFmtId="3" xfId="0" applyAlignment="1" applyBorder="1" applyFont="1" applyNumberFormat="1">
      <alignment horizontal="center" readingOrder="0"/>
    </xf>
    <xf borderId="9" fillId="0" fontId="1" numFmtId="3" xfId="0" applyAlignment="1" applyBorder="1" applyFont="1" applyNumberFormat="1">
      <alignment horizontal="center" readingOrder="0"/>
    </xf>
    <xf borderId="9" fillId="0" fontId="16" numFmtId="3" xfId="0" applyAlignment="1" applyBorder="1" applyFont="1" applyNumberFormat="1">
      <alignment horizontal="center" readingOrder="0"/>
    </xf>
    <xf borderId="7" fillId="0" fontId="16" numFmtId="3" xfId="0" applyAlignment="1" applyBorder="1" applyFont="1" applyNumberFormat="1">
      <alignment horizontal="center" readingOrder="0"/>
    </xf>
    <xf borderId="7" fillId="0" fontId="16" numFmtId="3" xfId="0" applyAlignment="1" applyBorder="1" applyFont="1" applyNumberFormat="1">
      <alignment horizontal="center"/>
    </xf>
    <xf borderId="0" fillId="0" fontId="16" numFmtId="0" xfId="0" applyAlignment="1" applyFont="1">
      <alignment horizontal="center"/>
    </xf>
    <xf borderId="5" fillId="11" fontId="29" numFmtId="3" xfId="0" applyAlignment="1" applyBorder="1" applyFont="1" applyNumberFormat="1">
      <alignment horizontal="center" readingOrder="0"/>
    </xf>
    <xf borderId="7" fillId="0" fontId="16" numFmtId="0" xfId="0" applyAlignment="1" applyBorder="1" applyFont="1">
      <alignment horizontal="center" readingOrder="0"/>
    </xf>
    <xf borderId="27" fillId="0" fontId="16" numFmtId="0" xfId="0" applyAlignment="1" applyBorder="1" applyFont="1">
      <alignment horizontal="center" readingOrder="0"/>
    </xf>
    <xf borderId="0" fillId="0" fontId="16" numFmtId="0" xfId="0" applyAlignment="1" applyFont="1">
      <alignment horizontal="left" readingOrder="0"/>
    </xf>
    <xf borderId="9" fillId="0" fontId="16" numFmtId="0" xfId="0" applyAlignment="1" applyBorder="1" applyFont="1">
      <alignment horizontal="center" readingOrder="0"/>
    </xf>
    <xf borderId="21" fillId="0" fontId="16" numFmtId="0" xfId="0" applyAlignment="1" applyBorder="1" applyFont="1">
      <alignment horizontal="center" readingOrder="0"/>
    </xf>
    <xf borderId="9" fillId="0" fontId="16" numFmtId="3" xfId="0" applyAlignment="1" applyBorder="1" applyFont="1" applyNumberFormat="1">
      <alignment horizontal="center"/>
    </xf>
    <xf borderId="2" fillId="18" fontId="1" numFmtId="3" xfId="0" applyAlignment="1" applyBorder="1" applyFill="1" applyFont="1" applyNumberFormat="1">
      <alignment horizontal="center" readingOrder="0"/>
    </xf>
    <xf borderId="5" fillId="0" fontId="16" numFmtId="3" xfId="0" applyAlignment="1" applyBorder="1" applyFont="1" applyNumberFormat="1">
      <alignment horizontal="center" readingOrder="0" vertical="center"/>
    </xf>
    <xf borderId="5" fillId="11" fontId="29" numFmtId="3" xfId="0" applyAlignment="1" applyBorder="1" applyFont="1" applyNumberFormat="1">
      <alignment horizontal="center" readingOrder="0" vertical="center"/>
    </xf>
    <xf borderId="5" fillId="0" fontId="16" numFmtId="3" xfId="0" applyAlignment="1" applyBorder="1" applyFont="1" applyNumberFormat="1">
      <alignment horizontal="center" vertical="center"/>
    </xf>
    <xf borderId="0" fillId="0" fontId="16" numFmtId="3" xfId="0" applyAlignment="1" applyFont="1" applyNumberFormat="1">
      <alignment horizontal="left" readingOrder="0"/>
    </xf>
    <xf borderId="0" fillId="0" fontId="30" numFmtId="3" xfId="0" applyAlignment="1" applyFont="1" applyNumberFormat="1">
      <alignment horizontal="left" readingOrder="0"/>
    </xf>
    <xf borderId="0" fillId="0" fontId="16" numFmtId="164" xfId="0" applyAlignment="1" applyFont="1" applyNumberFormat="1">
      <alignment readingOrder="0"/>
    </xf>
    <xf borderId="5" fillId="0" fontId="16" numFmtId="3" xfId="0" applyAlignment="1" applyBorder="1" applyFont="1" applyNumberFormat="1">
      <alignment horizontal="left" readingOrder="0"/>
    </xf>
    <xf borderId="0" fillId="0" fontId="30" numFmtId="3" xfId="0" applyAlignment="1" applyFont="1" applyNumberFormat="1">
      <alignment horizontal="center" readingOrder="0"/>
    </xf>
    <xf borderId="5" fillId="11" fontId="31" numFmtId="3" xfId="0" applyAlignment="1" applyBorder="1" applyFont="1" applyNumberFormat="1">
      <alignment horizontal="center"/>
    </xf>
    <xf borderId="5" fillId="0" fontId="16" numFmtId="0" xfId="0" applyAlignment="1" applyBorder="1" applyFont="1">
      <alignment horizontal="center" readingOrder="0"/>
    </xf>
    <xf borderId="1" fillId="0" fontId="16" numFmtId="3" xfId="0" applyAlignment="1" applyBorder="1" applyFont="1" applyNumberFormat="1">
      <alignment horizontal="center"/>
    </xf>
    <xf borderId="30" fillId="17" fontId="16" numFmtId="3" xfId="0" applyAlignment="1" applyBorder="1" applyFont="1" applyNumberFormat="1">
      <alignment horizontal="center" readingOrder="0"/>
    </xf>
    <xf borderId="31" fillId="17" fontId="16" numFmtId="3" xfId="0" applyAlignment="1" applyBorder="1" applyFont="1" applyNumberFormat="1">
      <alignment horizontal="center"/>
    </xf>
    <xf borderId="32" fillId="17" fontId="16" numFmtId="3" xfId="0" applyAlignment="1" applyBorder="1" applyFont="1" applyNumberFormat="1">
      <alignment horizontal="center"/>
    </xf>
    <xf borderId="0" fillId="0" fontId="16" numFmtId="0" xfId="0" applyAlignment="1" applyFont="1">
      <alignment readingOrder="0"/>
    </xf>
    <xf borderId="33" fillId="0" fontId="16" numFmtId="3" xfId="0" applyAlignment="1" applyBorder="1" applyFont="1" applyNumberFormat="1">
      <alignment horizontal="center"/>
    </xf>
    <xf borderId="34" fillId="0" fontId="16" numFmtId="3" xfId="0" applyAlignment="1" applyBorder="1" applyFont="1" applyNumberFormat="1">
      <alignment horizontal="center"/>
    </xf>
    <xf borderId="0" fillId="0" fontId="16" numFmtId="3" xfId="0" applyAlignment="1" applyFont="1" applyNumberFormat="1">
      <alignment horizontal="right" readingOrder="0"/>
    </xf>
    <xf borderId="0" fillId="0" fontId="1" numFmtId="0" xfId="0" applyAlignment="1" applyFont="1">
      <alignment readingOrder="0"/>
    </xf>
    <xf borderId="1" fillId="10" fontId="1" numFmtId="0" xfId="0" applyAlignment="1" applyBorder="1" applyFont="1">
      <alignment horizontal="center" readingOrder="0" vertical="center"/>
    </xf>
    <xf borderId="5" fillId="10" fontId="4" numFmtId="0" xfId="0" applyAlignment="1" applyBorder="1" applyFont="1">
      <alignment horizontal="center" readingOrder="0" vertical="bottom"/>
    </xf>
    <xf borderId="1" fillId="10" fontId="4" numFmtId="0" xfId="0" applyAlignment="1" applyBorder="1" applyFont="1">
      <alignment horizontal="center" readingOrder="0" vertical="center"/>
    </xf>
    <xf borderId="5" fillId="0" fontId="16" numFmtId="0" xfId="0" applyAlignment="1" applyBorder="1" applyFont="1">
      <alignment readingOrder="0"/>
    </xf>
    <xf borderId="5" fillId="0" fontId="16" numFmtId="0" xfId="0" applyAlignment="1" applyBorder="1" applyFont="1">
      <alignment horizontal="center"/>
    </xf>
    <xf borderId="5" fillId="0" fontId="16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2.25"/>
    <col customWidth="1" min="2" max="2" width="20.63"/>
    <col customWidth="1" min="3" max="3" width="9.75"/>
    <col customWidth="1" min="4" max="6" width="8.38"/>
    <col customWidth="1" min="7" max="7" width="8.63"/>
    <col customWidth="1" min="8" max="8" width="18.13"/>
    <col customWidth="1" min="9" max="10" width="9.38"/>
    <col customWidth="1" min="11" max="11" width="16.0"/>
    <col customWidth="1" min="12" max="12" width="11.88"/>
    <col customWidth="1" min="13" max="14" width="9.38"/>
    <col customWidth="1" min="15" max="15" width="15.63"/>
    <col customWidth="1" min="16" max="16" width="10.88"/>
    <col customWidth="1" min="17" max="22" width="8.38"/>
    <col customWidth="1" min="24" max="24" width="85.0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5"/>
      <c r="G1" s="6" t="s">
        <v>3</v>
      </c>
      <c r="H1" s="7" t="s">
        <v>4</v>
      </c>
      <c r="I1" s="8" t="s">
        <v>5</v>
      </c>
      <c r="J1" s="4"/>
      <c r="K1" s="4"/>
      <c r="L1" s="4"/>
      <c r="M1" s="4"/>
      <c r="N1" s="4"/>
      <c r="O1" s="4"/>
      <c r="P1" s="9" t="s">
        <v>6</v>
      </c>
      <c r="Q1" s="4"/>
      <c r="R1" s="4"/>
      <c r="S1" s="4"/>
      <c r="T1" s="4"/>
      <c r="U1" s="4"/>
      <c r="V1" s="5"/>
      <c r="W1" s="10" t="s">
        <v>7</v>
      </c>
      <c r="X1" s="11" t="s">
        <v>8</v>
      </c>
    </row>
    <row r="2">
      <c r="A2" s="12"/>
      <c r="B2" s="12"/>
      <c r="C2" s="13">
        <v>22.0</v>
      </c>
      <c r="D2" s="14">
        <v>23.0</v>
      </c>
      <c r="E2" s="14">
        <v>24.0</v>
      </c>
      <c r="F2" s="14">
        <v>25.0</v>
      </c>
      <c r="G2" s="14">
        <v>26.0</v>
      </c>
      <c r="H2" s="14">
        <v>27.0</v>
      </c>
      <c r="I2" s="14">
        <v>28.0</v>
      </c>
      <c r="J2" s="14">
        <v>29.0</v>
      </c>
      <c r="K2" s="14">
        <v>30.0</v>
      </c>
      <c r="L2" s="14">
        <v>31.0</v>
      </c>
      <c r="M2" s="14">
        <v>1.0</v>
      </c>
      <c r="N2" s="14">
        <v>2.0</v>
      </c>
      <c r="O2" s="14">
        <v>3.0</v>
      </c>
      <c r="P2" s="14">
        <v>4.0</v>
      </c>
      <c r="Q2" s="14">
        <v>5.0</v>
      </c>
      <c r="R2" s="14">
        <v>6.0</v>
      </c>
      <c r="S2" s="14">
        <v>7.0</v>
      </c>
      <c r="T2" s="14">
        <v>8.0</v>
      </c>
      <c r="U2" s="14">
        <v>9.0</v>
      </c>
      <c r="V2" s="15">
        <v>10.0</v>
      </c>
      <c r="W2" s="16"/>
    </row>
    <row r="3">
      <c r="A3" s="17"/>
      <c r="B3" s="17"/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9</v>
      </c>
      <c r="K3" s="14" t="s">
        <v>10</v>
      </c>
      <c r="L3" s="14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9</v>
      </c>
      <c r="R3" s="14" t="s">
        <v>10</v>
      </c>
      <c r="S3" s="14" t="s">
        <v>11</v>
      </c>
      <c r="T3" s="14" t="s">
        <v>12</v>
      </c>
      <c r="U3" s="14" t="s">
        <v>13</v>
      </c>
      <c r="V3" s="18" t="s">
        <v>14</v>
      </c>
      <c r="W3" s="19"/>
    </row>
    <row r="4">
      <c r="A4" s="20" t="s">
        <v>16</v>
      </c>
      <c r="B4" s="21"/>
      <c r="C4" s="22"/>
      <c r="D4" s="22"/>
      <c r="E4" s="22"/>
      <c r="F4" s="22"/>
      <c r="G4" s="22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23"/>
      <c r="X4" s="24"/>
    </row>
    <row r="5">
      <c r="A5" s="25" t="s">
        <v>17</v>
      </c>
      <c r="B5" s="26"/>
      <c r="C5" s="27"/>
      <c r="D5" s="27"/>
      <c r="E5" s="27"/>
      <c r="F5" s="27"/>
      <c r="G5" s="2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28"/>
      <c r="X5" s="29"/>
    </row>
    <row r="6">
      <c r="A6" s="30" t="s">
        <v>18</v>
      </c>
      <c r="B6" s="31" t="s">
        <v>19</v>
      </c>
      <c r="C6" s="32">
        <v>505.0</v>
      </c>
      <c r="D6" s="33">
        <v>520.0</v>
      </c>
      <c r="E6" s="33">
        <v>261.0</v>
      </c>
      <c r="F6" s="33">
        <v>236.0</v>
      </c>
      <c r="G6" s="33">
        <v>2296.0</v>
      </c>
      <c r="H6" s="33">
        <v>1137.0</v>
      </c>
      <c r="I6" s="33">
        <v>2798.0</v>
      </c>
      <c r="J6" s="33">
        <v>2590.0</v>
      </c>
      <c r="K6" s="33">
        <v>2455.0</v>
      </c>
      <c r="L6" s="33">
        <v>2740.0</v>
      </c>
      <c r="M6" s="33">
        <v>2495.0</v>
      </c>
      <c r="N6" s="32">
        <v>3202.0</v>
      </c>
      <c r="O6" s="33">
        <v>3343.0</v>
      </c>
      <c r="P6" s="34">
        <v>2743.0</v>
      </c>
      <c r="Q6" s="34">
        <v>1786.0</v>
      </c>
      <c r="R6" s="34">
        <v>1455.0</v>
      </c>
      <c r="S6" s="34">
        <v>578.0</v>
      </c>
      <c r="T6" s="34">
        <v>1669.0</v>
      </c>
      <c r="U6" s="34">
        <v>1455.0</v>
      </c>
      <c r="V6" s="34">
        <v>815.0</v>
      </c>
      <c r="W6" s="35">
        <f t="shared" ref="W6:W10" si="1">sum(C6:V6)</f>
        <v>35079</v>
      </c>
      <c r="X6" s="36"/>
    </row>
    <row r="7">
      <c r="A7" s="30" t="s">
        <v>20</v>
      </c>
      <c r="B7" s="31" t="s">
        <v>19</v>
      </c>
      <c r="C7" s="37">
        <v>3136.5</v>
      </c>
      <c r="D7" s="38">
        <v>3315.0</v>
      </c>
      <c r="E7" s="39">
        <v>1658.0</v>
      </c>
      <c r="F7" s="38">
        <v>1126.5</v>
      </c>
      <c r="G7" s="38">
        <v>17332.5</v>
      </c>
      <c r="H7" s="38">
        <v>6940.0</v>
      </c>
      <c r="I7" s="38">
        <v>22651.0</v>
      </c>
      <c r="J7" s="38">
        <v>23605.0</v>
      </c>
      <c r="K7" s="38">
        <v>21591.0</v>
      </c>
      <c r="L7" s="38">
        <v>24924.0</v>
      </c>
      <c r="M7" s="38">
        <v>22387.5</v>
      </c>
      <c r="N7" s="37">
        <v>26785.0</v>
      </c>
      <c r="O7" s="38">
        <v>27110.0</v>
      </c>
      <c r="P7" s="40">
        <v>21364.0</v>
      </c>
      <c r="Q7" s="40">
        <v>13563.0</v>
      </c>
      <c r="R7" s="40">
        <v>13079.0</v>
      </c>
      <c r="S7" s="40">
        <v>4603.5</v>
      </c>
      <c r="T7" s="40">
        <v>17157.0</v>
      </c>
      <c r="U7" s="40">
        <v>9783.5</v>
      </c>
      <c r="V7" s="40">
        <v>6552.0</v>
      </c>
      <c r="W7" s="41">
        <f t="shared" si="1"/>
        <v>288664</v>
      </c>
      <c r="X7" s="42"/>
    </row>
    <row r="8">
      <c r="A8" s="43" t="s">
        <v>21</v>
      </c>
      <c r="B8" s="31" t="s">
        <v>19</v>
      </c>
      <c r="C8" s="44">
        <v>318.0</v>
      </c>
      <c r="D8" s="45">
        <v>333.0</v>
      </c>
      <c r="E8" s="45">
        <v>189.0</v>
      </c>
      <c r="F8" s="45">
        <v>165.0</v>
      </c>
      <c r="G8" s="45">
        <v>1372.0</v>
      </c>
      <c r="H8" s="45">
        <v>738.0</v>
      </c>
      <c r="I8" s="45">
        <v>1982.0</v>
      </c>
      <c r="J8" s="45">
        <v>1888.0</v>
      </c>
      <c r="K8" s="45">
        <v>1768.0</v>
      </c>
      <c r="L8" s="45">
        <v>1966.0</v>
      </c>
      <c r="M8" s="45">
        <v>1711.0</v>
      </c>
      <c r="N8" s="44">
        <v>2123.0</v>
      </c>
      <c r="O8" s="45">
        <v>2119.0</v>
      </c>
      <c r="P8" s="34">
        <v>1803.0</v>
      </c>
      <c r="Q8" s="34">
        <v>1229.0</v>
      </c>
      <c r="R8" s="34">
        <v>1030.0</v>
      </c>
      <c r="S8" s="34">
        <v>416.0</v>
      </c>
      <c r="T8" s="34">
        <v>1193.0</v>
      </c>
      <c r="U8" s="34">
        <v>942.0</v>
      </c>
      <c r="V8" s="34">
        <v>544.0</v>
      </c>
      <c r="W8" s="35">
        <f t="shared" si="1"/>
        <v>23829</v>
      </c>
      <c r="X8" s="42"/>
    </row>
    <row r="9">
      <c r="A9" s="43" t="s">
        <v>22</v>
      </c>
      <c r="B9" s="31" t="s">
        <v>19</v>
      </c>
      <c r="C9" s="44">
        <v>69.0</v>
      </c>
      <c r="D9" s="45">
        <v>68.0</v>
      </c>
      <c r="E9" s="45">
        <v>67.0</v>
      </c>
      <c r="F9" s="45">
        <v>63.0</v>
      </c>
      <c r="G9" s="45">
        <v>77.0</v>
      </c>
      <c r="H9" s="45">
        <v>48.0</v>
      </c>
      <c r="I9" s="45">
        <v>60.0</v>
      </c>
      <c r="J9" s="45">
        <v>59.0</v>
      </c>
      <c r="K9" s="45">
        <v>59.0</v>
      </c>
      <c r="L9" s="45">
        <v>60.0</v>
      </c>
      <c r="M9" s="45">
        <v>52.0</v>
      </c>
      <c r="N9" s="44">
        <v>56.0</v>
      </c>
      <c r="O9" s="45">
        <v>56.0</v>
      </c>
      <c r="P9" s="34">
        <v>41.0</v>
      </c>
      <c r="Q9" s="34">
        <v>62.0</v>
      </c>
      <c r="R9" s="34">
        <v>66.0</v>
      </c>
      <c r="S9" s="34">
        <v>61.0</v>
      </c>
      <c r="T9" s="34">
        <v>48.0</v>
      </c>
      <c r="U9" s="34">
        <v>47.0</v>
      </c>
      <c r="V9" s="34">
        <v>23.0</v>
      </c>
      <c r="W9" s="35">
        <f t="shared" si="1"/>
        <v>1142</v>
      </c>
      <c r="X9" s="46"/>
    </row>
    <row r="10">
      <c r="A10" s="43" t="s">
        <v>23</v>
      </c>
      <c r="B10" s="31" t="s">
        <v>19</v>
      </c>
      <c r="C10" s="37">
        <v>1565.0</v>
      </c>
      <c r="D10" s="38">
        <v>1779.0</v>
      </c>
      <c r="E10" s="38">
        <v>545.0</v>
      </c>
      <c r="F10" s="38">
        <v>227.0</v>
      </c>
      <c r="G10" s="38">
        <v>4216.5</v>
      </c>
      <c r="H10" s="38">
        <v>1443.5</v>
      </c>
      <c r="I10" s="38">
        <v>3598.5</v>
      </c>
      <c r="J10" s="38">
        <v>3130.5</v>
      </c>
      <c r="K10" s="38">
        <v>2685.5</v>
      </c>
      <c r="L10" s="38">
        <v>2867.0</v>
      </c>
      <c r="M10" s="38">
        <v>3031.0</v>
      </c>
      <c r="N10" s="37">
        <v>4099.0</v>
      </c>
      <c r="O10" s="38">
        <v>3189.0</v>
      </c>
      <c r="P10" s="40">
        <v>2967.0</v>
      </c>
      <c r="Q10" s="40">
        <v>1352.5</v>
      </c>
      <c r="R10" s="40">
        <v>1417.0</v>
      </c>
      <c r="S10" s="40">
        <v>497.5</v>
      </c>
      <c r="T10" s="40">
        <v>2021.5</v>
      </c>
      <c r="U10" s="40">
        <v>1193.5</v>
      </c>
      <c r="V10" s="40">
        <v>831.0</v>
      </c>
      <c r="W10" s="41">
        <f t="shared" si="1"/>
        <v>42656.5</v>
      </c>
      <c r="X10" s="46"/>
    </row>
    <row r="11">
      <c r="A11" s="47" t="s">
        <v>24</v>
      </c>
      <c r="B11" s="31" t="s">
        <v>19</v>
      </c>
      <c r="C11" s="48">
        <v>0.68</v>
      </c>
      <c r="D11" s="49">
        <v>0.71</v>
      </c>
      <c r="E11" s="49">
        <v>0.63</v>
      </c>
      <c r="F11" s="49">
        <v>0.6</v>
      </c>
      <c r="G11" s="49">
        <v>0.73</v>
      </c>
      <c r="H11" s="49">
        <v>0.64</v>
      </c>
      <c r="I11" s="49">
        <v>0.7</v>
      </c>
      <c r="J11" s="49">
        <v>0.71</v>
      </c>
      <c r="K11" s="49">
        <v>0.7</v>
      </c>
      <c r="L11" s="49">
        <v>0.71</v>
      </c>
      <c r="M11" s="49">
        <v>0.68</v>
      </c>
      <c r="N11" s="48">
        <v>0.66</v>
      </c>
      <c r="O11" s="49">
        <v>0.65</v>
      </c>
      <c r="P11" s="50">
        <v>0.62</v>
      </c>
      <c r="Q11" s="50">
        <v>0.58</v>
      </c>
      <c r="R11" s="50">
        <v>0.65</v>
      </c>
      <c r="S11" s="50">
        <v>0.59</v>
      </c>
      <c r="T11" s="50">
        <v>0.68</v>
      </c>
      <c r="U11" s="50">
        <v>0.64</v>
      </c>
      <c r="V11" s="50">
        <v>0.58</v>
      </c>
      <c r="W11" s="51"/>
      <c r="X11" s="42"/>
    </row>
    <row r="12">
      <c r="A12" s="52" t="s">
        <v>25</v>
      </c>
      <c r="B12" s="31" t="s">
        <v>19</v>
      </c>
      <c r="C12" s="44" t="s">
        <v>26</v>
      </c>
      <c r="D12" s="45" t="s">
        <v>26</v>
      </c>
      <c r="E12" s="45" t="s">
        <v>26</v>
      </c>
      <c r="F12" s="45" t="s">
        <v>26</v>
      </c>
      <c r="G12" s="45" t="s">
        <v>26</v>
      </c>
      <c r="H12" s="45" t="s">
        <v>26</v>
      </c>
      <c r="I12" s="38">
        <v>3686.0</v>
      </c>
      <c r="J12" s="38">
        <v>3868.0</v>
      </c>
      <c r="K12" s="38">
        <v>3424.0</v>
      </c>
      <c r="L12" s="38">
        <v>4396.0</v>
      </c>
      <c r="M12" s="38">
        <v>5492.0</v>
      </c>
      <c r="N12" s="37">
        <v>6262.0</v>
      </c>
      <c r="O12" s="38">
        <v>6978.0</v>
      </c>
      <c r="P12" s="53">
        <v>5718.0</v>
      </c>
      <c r="Q12" s="53">
        <v>4354.0</v>
      </c>
      <c r="R12" s="40">
        <v>4258.0</v>
      </c>
      <c r="S12" s="40">
        <v>1516.0</v>
      </c>
      <c r="T12" s="40">
        <v>5746.0</v>
      </c>
      <c r="U12" s="40">
        <v>1094.0</v>
      </c>
      <c r="V12" s="40">
        <v>1780.0</v>
      </c>
      <c r="W12" s="54">
        <f t="shared" ref="W12:W13" si="2">SUM(C12:V12)</f>
        <v>58572</v>
      </c>
      <c r="X12" s="55"/>
    </row>
    <row r="13">
      <c r="A13" s="47" t="s">
        <v>27</v>
      </c>
      <c r="B13" s="31" t="s">
        <v>19</v>
      </c>
      <c r="C13" s="44" t="s">
        <v>26</v>
      </c>
      <c r="D13" s="45" t="s">
        <v>26</v>
      </c>
      <c r="E13" s="45" t="s">
        <v>26</v>
      </c>
      <c r="F13" s="45" t="s">
        <v>26</v>
      </c>
      <c r="G13" s="45" t="s">
        <v>26</v>
      </c>
      <c r="H13" s="45" t="s">
        <v>26</v>
      </c>
      <c r="I13" s="45">
        <v>107.0</v>
      </c>
      <c r="J13" s="45">
        <v>111.0</v>
      </c>
      <c r="K13" s="45">
        <v>103.0</v>
      </c>
      <c r="L13" s="45">
        <v>128.0</v>
      </c>
      <c r="M13" s="45">
        <v>163.0</v>
      </c>
      <c r="N13" s="44">
        <v>185.0</v>
      </c>
      <c r="O13" s="45">
        <v>202.0</v>
      </c>
      <c r="P13" s="56">
        <v>170.0</v>
      </c>
      <c r="Q13" s="56">
        <v>132.0</v>
      </c>
      <c r="R13" s="56">
        <v>129.0</v>
      </c>
      <c r="S13" s="56">
        <v>46.0</v>
      </c>
      <c r="T13" s="56">
        <v>173.0</v>
      </c>
      <c r="U13" s="56">
        <v>39.0</v>
      </c>
      <c r="V13" s="56">
        <v>62.0</v>
      </c>
      <c r="W13" s="35">
        <f t="shared" si="2"/>
        <v>1750</v>
      </c>
      <c r="X13" s="57"/>
    </row>
    <row r="14">
      <c r="A14" s="58" t="s">
        <v>28</v>
      </c>
      <c r="B14" s="59" t="s">
        <v>29</v>
      </c>
      <c r="C14" s="60">
        <v>458.0</v>
      </c>
      <c r="D14" s="60">
        <v>510.0</v>
      </c>
      <c r="E14" s="60">
        <v>264.0</v>
      </c>
      <c r="F14" s="60">
        <v>218.0</v>
      </c>
      <c r="G14" s="60">
        <v>2377.0</v>
      </c>
      <c r="H14" s="60">
        <v>1121.0</v>
      </c>
      <c r="I14" s="60">
        <v>2540.0</v>
      </c>
      <c r="J14" s="60">
        <v>2251.0</v>
      </c>
      <c r="K14" s="60">
        <v>2289.0</v>
      </c>
      <c r="L14" s="60">
        <v>2522.0</v>
      </c>
      <c r="M14" s="60">
        <v>2100.0</v>
      </c>
      <c r="N14" s="60">
        <v>3229.0</v>
      </c>
      <c r="O14" s="60">
        <v>3260.0</v>
      </c>
      <c r="P14" s="60">
        <v>2336.0</v>
      </c>
      <c r="Q14" s="60">
        <v>2490.0</v>
      </c>
      <c r="R14" s="60">
        <v>2443.0</v>
      </c>
      <c r="S14" s="61">
        <v>470.0</v>
      </c>
      <c r="T14" s="60">
        <v>1450.0</v>
      </c>
      <c r="U14" s="60">
        <v>1412.0</v>
      </c>
      <c r="V14" s="62">
        <v>751.0</v>
      </c>
      <c r="W14" s="63">
        <f>Sum(C14:V14)</f>
        <v>34491</v>
      </c>
      <c r="X14" s="64"/>
    </row>
    <row r="15" hidden="1">
      <c r="A15" s="20" t="s">
        <v>30</v>
      </c>
      <c r="B15" s="59" t="s">
        <v>29</v>
      </c>
      <c r="C15" s="2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5"/>
      <c r="W15" s="65"/>
      <c r="X15" s="66"/>
    </row>
    <row r="16" hidden="1">
      <c r="A16" s="25" t="s">
        <v>31</v>
      </c>
      <c r="B16" s="59" t="s">
        <v>29</v>
      </c>
      <c r="C16" s="27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5"/>
      <c r="W16" s="28"/>
      <c r="X16" s="29"/>
    </row>
    <row r="17" hidden="1">
      <c r="A17" s="67" t="s">
        <v>32</v>
      </c>
      <c r="B17" s="59" t="s">
        <v>29</v>
      </c>
      <c r="C17" s="68"/>
      <c r="D17" s="68"/>
      <c r="E17" s="68"/>
      <c r="F17" s="68"/>
      <c r="G17" s="68"/>
      <c r="H17" s="68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35">
        <f t="shared" ref="W17:W18" si="3">sum(C17:V17)</f>
        <v>0</v>
      </c>
      <c r="X17" s="70"/>
    </row>
    <row r="18" hidden="1">
      <c r="A18" s="71" t="s">
        <v>33</v>
      </c>
      <c r="B18" s="59" t="s">
        <v>29</v>
      </c>
      <c r="C18" s="72"/>
      <c r="D18" s="72"/>
      <c r="E18" s="72"/>
      <c r="F18" s="72"/>
      <c r="G18" s="73"/>
      <c r="H18" s="74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35">
        <f t="shared" si="3"/>
        <v>0</v>
      </c>
      <c r="X18" s="36"/>
    </row>
    <row r="19" hidden="1">
      <c r="A19" s="25" t="s">
        <v>34</v>
      </c>
      <c r="B19" s="59" t="s">
        <v>29</v>
      </c>
      <c r="C19" s="2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5"/>
      <c r="W19" s="28"/>
      <c r="X19" s="29"/>
    </row>
    <row r="20" hidden="1">
      <c r="A20" s="67" t="s">
        <v>32</v>
      </c>
      <c r="B20" s="59" t="s">
        <v>29</v>
      </c>
      <c r="C20" s="75"/>
      <c r="D20" s="75"/>
      <c r="E20" s="75"/>
      <c r="F20" s="75"/>
      <c r="G20" s="75"/>
      <c r="H20" s="75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35">
        <f t="shared" ref="W20:W21" si="4">sum(C20:V20)</f>
        <v>0</v>
      </c>
      <c r="X20" s="42"/>
    </row>
    <row r="21" hidden="1">
      <c r="A21" s="71" t="s">
        <v>33</v>
      </c>
      <c r="B21" s="59" t="s">
        <v>29</v>
      </c>
      <c r="C21" s="74"/>
      <c r="D21" s="74"/>
      <c r="E21" s="74"/>
      <c r="F21" s="74"/>
      <c r="G21" s="73"/>
      <c r="H21" s="72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35">
        <f t="shared" si="4"/>
        <v>0</v>
      </c>
      <c r="X21" s="36"/>
    </row>
    <row r="22" hidden="1">
      <c r="A22" s="25" t="s">
        <v>35</v>
      </c>
      <c r="B22" s="59" t="s">
        <v>29</v>
      </c>
      <c r="C22" s="2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5"/>
      <c r="W22" s="28"/>
      <c r="X22" s="29"/>
    </row>
    <row r="23" hidden="1">
      <c r="A23" s="67" t="s">
        <v>32</v>
      </c>
      <c r="B23" s="59" t="s">
        <v>29</v>
      </c>
      <c r="C23" s="75"/>
      <c r="D23" s="75"/>
      <c r="E23" s="75"/>
      <c r="F23" s="75"/>
      <c r="G23" s="75"/>
      <c r="H23" s="75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35">
        <f t="shared" ref="W23:W24" si="5">sum(C23:V23)</f>
        <v>0</v>
      </c>
      <c r="X23" s="70" t="s">
        <v>36</v>
      </c>
    </row>
    <row r="24" hidden="1">
      <c r="A24" s="71" t="s">
        <v>33</v>
      </c>
      <c r="B24" s="59" t="s">
        <v>29</v>
      </c>
      <c r="C24" s="72"/>
      <c r="D24" s="72"/>
      <c r="E24" s="72"/>
      <c r="F24" s="72"/>
      <c r="G24" s="73"/>
      <c r="H24" s="72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35">
        <f t="shared" si="5"/>
        <v>0</v>
      </c>
      <c r="X24" s="76"/>
    </row>
    <row r="25">
      <c r="A25" s="77" t="s">
        <v>37</v>
      </c>
      <c r="B25" s="59" t="s">
        <v>29</v>
      </c>
      <c r="C25" s="78"/>
      <c r="D25" s="78"/>
      <c r="E25" s="78"/>
      <c r="F25" s="78"/>
      <c r="G25" s="78"/>
      <c r="H25" s="78"/>
      <c r="I25" s="78"/>
      <c r="J25" s="78"/>
      <c r="K25" s="78"/>
      <c r="L25" s="79">
        <v>60.0</v>
      </c>
      <c r="M25" s="79">
        <v>55.0</v>
      </c>
      <c r="N25" s="79">
        <v>59.0</v>
      </c>
      <c r="O25" s="79">
        <v>82.0</v>
      </c>
      <c r="P25" s="79">
        <v>50.0</v>
      </c>
      <c r="Q25" s="79">
        <v>63.0</v>
      </c>
      <c r="R25" s="79">
        <v>48.0</v>
      </c>
      <c r="S25" s="79">
        <v>9.0</v>
      </c>
      <c r="T25" s="79">
        <v>58.0</v>
      </c>
      <c r="U25" s="79">
        <v>42.0</v>
      </c>
      <c r="V25" s="79">
        <v>10.0</v>
      </c>
      <c r="W25" s="78"/>
      <c r="X25" s="80"/>
    </row>
    <row r="26">
      <c r="A26" s="81"/>
      <c r="B26" s="82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4"/>
      <c r="X26" s="85"/>
    </row>
    <row r="27">
      <c r="A27" s="20" t="s">
        <v>38</v>
      </c>
      <c r="B27" s="21"/>
      <c r="C27" s="2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5"/>
      <c r="W27" s="86"/>
      <c r="X27" s="87"/>
    </row>
    <row r="28">
      <c r="A28" s="25" t="s">
        <v>39</v>
      </c>
      <c r="B28" s="88"/>
      <c r="C28" s="2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5"/>
      <c r="W28" s="89"/>
      <c r="X28" s="29"/>
    </row>
    <row r="29">
      <c r="A29" s="67" t="s">
        <v>32</v>
      </c>
      <c r="B29" s="90" t="s">
        <v>40</v>
      </c>
      <c r="C29" s="72"/>
      <c r="D29" s="72"/>
      <c r="E29" s="72"/>
      <c r="F29" s="72"/>
      <c r="G29" s="72"/>
      <c r="H29" s="72"/>
      <c r="I29" s="69">
        <v>21.0</v>
      </c>
      <c r="J29" s="69">
        <v>19.0</v>
      </c>
      <c r="K29" s="69">
        <v>18.0</v>
      </c>
      <c r="L29" s="69">
        <v>24.0</v>
      </c>
      <c r="M29" s="69">
        <v>27.0</v>
      </c>
      <c r="N29" s="69">
        <v>23.0</v>
      </c>
      <c r="O29" s="69">
        <v>25.0</v>
      </c>
      <c r="P29" s="69">
        <v>17.0</v>
      </c>
      <c r="Q29" s="69">
        <v>18.0</v>
      </c>
      <c r="R29" s="69">
        <v>14.0</v>
      </c>
      <c r="S29" s="69">
        <v>8.0</v>
      </c>
      <c r="T29" s="69">
        <v>10.0</v>
      </c>
      <c r="U29" s="69">
        <v>13.0</v>
      </c>
      <c r="V29" s="69">
        <v>13.0</v>
      </c>
      <c r="W29" s="35">
        <f t="shared" ref="W29:W30" si="6">sum(C29:V29)</f>
        <v>250</v>
      </c>
      <c r="X29" s="42"/>
    </row>
    <row r="30">
      <c r="A30" s="67" t="s">
        <v>41</v>
      </c>
      <c r="B30" s="59" t="s">
        <v>29</v>
      </c>
      <c r="C30" s="72"/>
      <c r="D30" s="72"/>
      <c r="E30" s="72"/>
      <c r="F30" s="72"/>
      <c r="G30" s="72"/>
      <c r="H30" s="72"/>
      <c r="I30" s="73">
        <v>122.0</v>
      </c>
      <c r="J30" s="73">
        <v>230.0</v>
      </c>
      <c r="K30" s="73">
        <v>336.0</v>
      </c>
      <c r="L30" s="73">
        <v>498.0</v>
      </c>
      <c r="M30" s="73">
        <v>1695.0</v>
      </c>
      <c r="N30" s="73">
        <v>691.0</v>
      </c>
      <c r="O30" s="73">
        <v>1731.0</v>
      </c>
      <c r="P30" s="73">
        <v>831.0</v>
      </c>
      <c r="Q30" s="73">
        <v>449.0</v>
      </c>
      <c r="R30" s="73">
        <v>179.0</v>
      </c>
      <c r="S30" s="73">
        <v>100.0</v>
      </c>
      <c r="T30" s="73">
        <v>191.0</v>
      </c>
      <c r="U30" s="73">
        <v>222.0</v>
      </c>
      <c r="V30" s="73">
        <v>251.0</v>
      </c>
      <c r="W30" s="35">
        <f t="shared" si="6"/>
        <v>7526</v>
      </c>
      <c r="X30" s="36"/>
    </row>
    <row r="31">
      <c r="A31" s="67" t="s">
        <v>42</v>
      </c>
      <c r="B31" s="91" t="s">
        <v>43</v>
      </c>
      <c r="C31" s="92"/>
      <c r="D31" s="92"/>
      <c r="E31" s="92"/>
      <c r="F31" s="92"/>
      <c r="G31" s="92"/>
      <c r="H31" s="92"/>
      <c r="I31" s="93">
        <v>3482.0</v>
      </c>
      <c r="J31" s="93">
        <v>3486.0</v>
      </c>
      <c r="K31" s="93">
        <v>2934.0</v>
      </c>
      <c r="L31" s="93">
        <v>4015.0</v>
      </c>
      <c r="M31" s="93">
        <v>3108.0</v>
      </c>
      <c r="N31" s="93">
        <v>3625.0</v>
      </c>
      <c r="O31" s="93">
        <v>3641.0</v>
      </c>
      <c r="P31" s="93">
        <v>2872.0</v>
      </c>
      <c r="Q31" s="93">
        <v>3453.0</v>
      </c>
      <c r="R31" s="93">
        <v>2751.0</v>
      </c>
      <c r="S31" s="93">
        <v>1391.0</v>
      </c>
      <c r="T31" s="93">
        <v>1843.0</v>
      </c>
      <c r="U31" s="93">
        <v>1968.0</v>
      </c>
      <c r="V31" s="94">
        <v>1797.0</v>
      </c>
      <c r="W31" s="35">
        <f>SUM(B31:V31)</f>
        <v>40366</v>
      </c>
      <c r="X31" s="36"/>
    </row>
    <row r="32">
      <c r="A32" s="67" t="s">
        <v>44</v>
      </c>
      <c r="B32" s="91" t="s">
        <v>45</v>
      </c>
      <c r="C32" s="92"/>
      <c r="D32" s="92"/>
      <c r="E32" s="92"/>
      <c r="F32" s="92"/>
      <c r="G32" s="92"/>
      <c r="H32" s="92"/>
      <c r="I32" s="95"/>
      <c r="J32" s="95"/>
      <c r="K32" s="95"/>
      <c r="L32" s="95"/>
      <c r="M32" s="95"/>
      <c r="N32" s="95"/>
      <c r="O32" s="95"/>
      <c r="P32" s="96"/>
      <c r="Q32" s="96"/>
      <c r="R32" s="96"/>
      <c r="S32" s="96"/>
      <c r="T32" s="96"/>
      <c r="U32" s="96"/>
      <c r="V32" s="97"/>
      <c r="W32" s="35">
        <f>sum(C32:V32)</f>
        <v>0</v>
      </c>
      <c r="X32" s="36"/>
    </row>
    <row r="33">
      <c r="A33" s="25" t="s">
        <v>46</v>
      </c>
      <c r="B33" s="88"/>
      <c r="C33" s="27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5"/>
      <c r="W33" s="28"/>
      <c r="X33" s="29"/>
    </row>
    <row r="34">
      <c r="A34" s="67" t="s">
        <v>32</v>
      </c>
      <c r="B34" s="90" t="s">
        <v>40</v>
      </c>
      <c r="C34" s="72"/>
      <c r="D34" s="72"/>
      <c r="E34" s="72"/>
      <c r="F34" s="72"/>
      <c r="G34" s="72"/>
      <c r="H34" s="72"/>
      <c r="I34" s="69">
        <v>11.0</v>
      </c>
      <c r="J34" s="69">
        <v>9.0</v>
      </c>
      <c r="K34" s="69">
        <v>9.0</v>
      </c>
      <c r="L34" s="69">
        <v>8.0</v>
      </c>
      <c r="M34" s="69">
        <v>11.0</v>
      </c>
      <c r="N34" s="69">
        <v>13.0</v>
      </c>
      <c r="O34" s="69">
        <v>11.0</v>
      </c>
      <c r="P34" s="69">
        <v>6.0</v>
      </c>
      <c r="Q34" s="69">
        <v>6.0</v>
      </c>
      <c r="R34" s="69">
        <v>6.0</v>
      </c>
      <c r="S34" s="69">
        <v>2.0</v>
      </c>
      <c r="T34" s="69">
        <v>6.0</v>
      </c>
      <c r="U34" s="69">
        <v>3.0</v>
      </c>
      <c r="V34" s="69">
        <v>4.0</v>
      </c>
      <c r="W34" s="35">
        <f t="shared" ref="W34:W36" si="7">sum(C34:V34)</f>
        <v>105</v>
      </c>
      <c r="X34" s="42"/>
    </row>
    <row r="35">
      <c r="A35" s="67" t="s">
        <v>41</v>
      </c>
      <c r="B35" s="59" t="s">
        <v>29</v>
      </c>
      <c r="C35" s="72"/>
      <c r="D35" s="72"/>
      <c r="E35" s="72"/>
      <c r="F35" s="72"/>
      <c r="G35" s="72"/>
      <c r="H35" s="72"/>
      <c r="I35" s="73">
        <v>127.0</v>
      </c>
      <c r="J35" s="73">
        <v>142.0</v>
      </c>
      <c r="K35" s="73">
        <v>126.0</v>
      </c>
      <c r="L35" s="73">
        <v>131.0</v>
      </c>
      <c r="M35" s="73">
        <v>195.0</v>
      </c>
      <c r="N35" s="73">
        <v>260.0</v>
      </c>
      <c r="O35" s="73">
        <v>227.0</v>
      </c>
      <c r="P35" s="73">
        <v>476.0</v>
      </c>
      <c r="Q35" s="73">
        <v>68.0</v>
      </c>
      <c r="R35" s="73">
        <v>30.0</v>
      </c>
      <c r="S35" s="73">
        <v>43.0</v>
      </c>
      <c r="T35" s="73">
        <v>49.0</v>
      </c>
      <c r="U35" s="73">
        <v>6.0</v>
      </c>
      <c r="V35" s="73">
        <v>33.0</v>
      </c>
      <c r="W35" s="35">
        <f t="shared" si="7"/>
        <v>1913</v>
      </c>
      <c r="X35" s="36"/>
    </row>
    <row r="36">
      <c r="A36" s="67" t="s">
        <v>42</v>
      </c>
      <c r="B36" s="91" t="s">
        <v>43</v>
      </c>
      <c r="C36" s="92"/>
      <c r="D36" s="92"/>
      <c r="E36" s="92"/>
      <c r="F36" s="92"/>
      <c r="G36" s="92"/>
      <c r="H36" s="92"/>
      <c r="I36" s="93">
        <v>1790.0</v>
      </c>
      <c r="J36" s="93">
        <v>1211.0</v>
      </c>
      <c r="K36" s="93">
        <v>1355.0</v>
      </c>
      <c r="L36" s="93">
        <v>1225.0</v>
      </c>
      <c r="M36" s="93">
        <v>1571.0</v>
      </c>
      <c r="N36" s="93">
        <v>1786.0</v>
      </c>
      <c r="O36" s="93">
        <v>1588.0</v>
      </c>
      <c r="P36" s="93">
        <v>975.0</v>
      </c>
      <c r="Q36" s="93">
        <v>892.0</v>
      </c>
      <c r="R36" s="93">
        <v>1182.0</v>
      </c>
      <c r="S36" s="93">
        <v>354.0</v>
      </c>
      <c r="T36" s="93">
        <v>1031.0</v>
      </c>
      <c r="U36" s="93">
        <v>558.0</v>
      </c>
      <c r="V36" s="94">
        <v>552.0</v>
      </c>
      <c r="W36" s="35">
        <f t="shared" si="7"/>
        <v>16070</v>
      </c>
      <c r="X36" s="36"/>
    </row>
    <row r="37">
      <c r="A37" s="67" t="s">
        <v>44</v>
      </c>
      <c r="B37" s="91" t="s">
        <v>45</v>
      </c>
      <c r="C37" s="92"/>
      <c r="D37" s="92"/>
      <c r="E37" s="92"/>
      <c r="F37" s="92"/>
      <c r="G37" s="92"/>
      <c r="H37" s="92"/>
      <c r="I37" s="95"/>
      <c r="J37" s="95"/>
      <c r="K37" s="95"/>
      <c r="L37" s="95"/>
      <c r="M37" s="95"/>
      <c r="N37" s="95"/>
      <c r="O37" s="95"/>
      <c r="P37" s="96"/>
      <c r="Q37" s="96"/>
      <c r="R37" s="96"/>
      <c r="S37" s="96"/>
      <c r="T37" s="96"/>
      <c r="U37" s="96"/>
      <c r="V37" s="97"/>
      <c r="W37" s="35"/>
      <c r="X37" s="36"/>
    </row>
    <row r="38">
      <c r="A38" s="25" t="s">
        <v>47</v>
      </c>
      <c r="B38" s="88"/>
      <c r="C38" s="2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5"/>
      <c r="W38" s="28"/>
      <c r="X38" s="29"/>
    </row>
    <row r="39">
      <c r="A39" s="67" t="s">
        <v>32</v>
      </c>
      <c r="B39" s="90" t="s">
        <v>40</v>
      </c>
      <c r="C39" s="72"/>
      <c r="D39" s="72"/>
      <c r="E39" s="72"/>
      <c r="F39" s="72"/>
      <c r="G39" s="72"/>
      <c r="H39" s="72"/>
      <c r="I39" s="69">
        <v>4.0</v>
      </c>
      <c r="J39" s="69">
        <v>3.0</v>
      </c>
      <c r="K39" s="69">
        <v>2.0</v>
      </c>
      <c r="L39" s="69">
        <v>3.0</v>
      </c>
      <c r="M39" s="69">
        <v>3.0</v>
      </c>
      <c r="N39" s="69">
        <v>4.0</v>
      </c>
      <c r="O39" s="69">
        <v>3.0</v>
      </c>
      <c r="P39" s="69">
        <v>2.0</v>
      </c>
      <c r="Q39" s="69">
        <v>1.0</v>
      </c>
      <c r="R39" s="69">
        <v>1.0</v>
      </c>
      <c r="S39" s="69">
        <v>0.0</v>
      </c>
      <c r="T39" s="69">
        <v>0.0</v>
      </c>
      <c r="U39" s="69">
        <v>0.0</v>
      </c>
      <c r="V39" s="69">
        <v>0.0</v>
      </c>
      <c r="W39" s="35">
        <f t="shared" ref="W39:W41" si="8">sum(C39:V39)</f>
        <v>26</v>
      </c>
      <c r="X39" s="42"/>
    </row>
    <row r="40">
      <c r="A40" s="67" t="s">
        <v>41</v>
      </c>
      <c r="B40" s="59" t="s">
        <v>29</v>
      </c>
      <c r="C40" s="72"/>
      <c r="D40" s="72"/>
      <c r="E40" s="72"/>
      <c r="F40" s="72"/>
      <c r="G40" s="72"/>
      <c r="H40" s="72"/>
      <c r="I40" s="73">
        <v>39.0</v>
      </c>
      <c r="J40" s="73">
        <v>31.0</v>
      </c>
      <c r="K40" s="73">
        <v>24.0</v>
      </c>
      <c r="L40" s="73">
        <v>43.0</v>
      </c>
      <c r="M40" s="73">
        <v>43.0</v>
      </c>
      <c r="N40" s="73">
        <v>31.0</v>
      </c>
      <c r="O40" s="73">
        <v>51.0</v>
      </c>
      <c r="P40" s="73">
        <v>30.0</v>
      </c>
      <c r="Q40" s="73">
        <v>18.0</v>
      </c>
      <c r="R40" s="73">
        <v>3.0</v>
      </c>
      <c r="S40" s="73">
        <v>0.0</v>
      </c>
      <c r="T40" s="73">
        <v>0.0</v>
      </c>
      <c r="U40" s="73">
        <v>0.0</v>
      </c>
      <c r="V40" s="73">
        <v>0.0</v>
      </c>
      <c r="W40" s="35">
        <f t="shared" si="8"/>
        <v>313</v>
      </c>
      <c r="X40" s="36"/>
    </row>
    <row r="41">
      <c r="A41" s="67" t="s">
        <v>42</v>
      </c>
      <c r="B41" s="91" t="s">
        <v>43</v>
      </c>
      <c r="C41" s="92"/>
      <c r="D41" s="92"/>
      <c r="E41" s="92"/>
      <c r="F41" s="92"/>
      <c r="G41" s="92"/>
      <c r="H41" s="92"/>
      <c r="I41" s="93">
        <v>621.0</v>
      </c>
      <c r="J41" s="93">
        <v>361.0</v>
      </c>
      <c r="K41" s="93">
        <v>450.0</v>
      </c>
      <c r="L41" s="93">
        <v>485.0</v>
      </c>
      <c r="M41" s="93">
        <v>321.0</v>
      </c>
      <c r="N41" s="93">
        <v>474.0</v>
      </c>
      <c r="O41" s="93">
        <v>275.0</v>
      </c>
      <c r="P41" s="93">
        <v>125.0</v>
      </c>
      <c r="Q41" s="93">
        <v>36.0</v>
      </c>
      <c r="R41" s="93">
        <v>9.0</v>
      </c>
      <c r="S41" s="93">
        <v>0.0</v>
      </c>
      <c r="T41" s="93">
        <v>0.0</v>
      </c>
      <c r="U41" s="93">
        <v>0.0</v>
      </c>
      <c r="V41" s="94">
        <v>0.0</v>
      </c>
      <c r="W41" s="35">
        <f t="shared" si="8"/>
        <v>3157</v>
      </c>
      <c r="X41" s="36"/>
    </row>
    <row r="42">
      <c r="A42" s="67" t="s">
        <v>44</v>
      </c>
      <c r="B42" s="91" t="s">
        <v>45</v>
      </c>
      <c r="C42" s="92"/>
      <c r="D42" s="92"/>
      <c r="E42" s="92"/>
      <c r="F42" s="92"/>
      <c r="G42" s="92"/>
      <c r="H42" s="92"/>
      <c r="I42" s="95"/>
      <c r="J42" s="95"/>
      <c r="K42" s="95"/>
      <c r="L42" s="95"/>
      <c r="M42" s="95"/>
      <c r="N42" s="95"/>
      <c r="O42" s="95"/>
      <c r="P42" s="96"/>
      <c r="Q42" s="96"/>
      <c r="R42" s="96"/>
      <c r="S42" s="96"/>
      <c r="T42" s="96"/>
      <c r="U42" s="96"/>
      <c r="V42" s="97"/>
      <c r="W42" s="35"/>
      <c r="X42" s="36"/>
    </row>
    <row r="43">
      <c r="A43" s="25" t="s">
        <v>48</v>
      </c>
      <c r="B43" s="88"/>
      <c r="C43" s="27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5"/>
      <c r="W43" s="28"/>
      <c r="X43" s="29"/>
    </row>
    <row r="44">
      <c r="A44" s="67" t="s">
        <v>32</v>
      </c>
      <c r="B44" s="90" t="s">
        <v>40</v>
      </c>
      <c r="C44" s="74"/>
      <c r="D44" s="74"/>
      <c r="E44" s="74"/>
      <c r="F44" s="74"/>
      <c r="G44" s="74"/>
      <c r="H44" s="74"/>
      <c r="I44" s="69">
        <v>4.0</v>
      </c>
      <c r="J44" s="69">
        <v>2.0</v>
      </c>
      <c r="K44" s="69">
        <v>3.0</v>
      </c>
      <c r="L44" s="69">
        <v>2.0</v>
      </c>
      <c r="M44" s="69">
        <v>3.0</v>
      </c>
      <c r="N44" s="69">
        <v>5.0</v>
      </c>
      <c r="O44" s="69">
        <v>4.0</v>
      </c>
      <c r="P44" s="69">
        <v>3.0</v>
      </c>
      <c r="Q44" s="69">
        <v>2.0</v>
      </c>
      <c r="R44" s="69">
        <v>2.0</v>
      </c>
      <c r="S44" s="69">
        <v>1.0</v>
      </c>
      <c r="T44" s="69">
        <v>3.0</v>
      </c>
      <c r="U44" s="69">
        <v>2.0</v>
      </c>
      <c r="V44" s="69">
        <v>3.0</v>
      </c>
      <c r="W44" s="35">
        <f t="shared" ref="W44:W46" si="9">sum(C44:V44)</f>
        <v>39</v>
      </c>
      <c r="X44" s="42"/>
    </row>
    <row r="45">
      <c r="A45" s="67" t="s">
        <v>41</v>
      </c>
      <c r="B45" s="59" t="s">
        <v>29</v>
      </c>
      <c r="C45" s="74"/>
      <c r="D45" s="74"/>
      <c r="E45" s="74"/>
      <c r="F45" s="74"/>
      <c r="G45" s="74"/>
      <c r="H45" s="74"/>
      <c r="I45" s="73">
        <v>554.0</v>
      </c>
      <c r="J45" s="73">
        <v>89.0</v>
      </c>
      <c r="K45" s="73">
        <v>129.0</v>
      </c>
      <c r="L45" s="73">
        <v>207.0</v>
      </c>
      <c r="M45" s="73">
        <v>141.0</v>
      </c>
      <c r="N45" s="73">
        <v>250.0</v>
      </c>
      <c r="O45" s="73">
        <v>196.0</v>
      </c>
      <c r="P45" s="73">
        <v>217.0</v>
      </c>
      <c r="Q45" s="73">
        <v>162.0</v>
      </c>
      <c r="R45" s="73">
        <v>102.0</v>
      </c>
      <c r="S45" s="73">
        <v>19.0</v>
      </c>
      <c r="T45" s="73">
        <v>130.0</v>
      </c>
      <c r="U45" s="73">
        <v>108.0</v>
      </c>
      <c r="V45" s="73">
        <v>203.0</v>
      </c>
      <c r="W45" s="35">
        <f t="shared" si="9"/>
        <v>2507</v>
      </c>
      <c r="X45" s="36"/>
    </row>
    <row r="46">
      <c r="A46" s="67" t="s">
        <v>42</v>
      </c>
      <c r="B46" s="91" t="s">
        <v>43</v>
      </c>
      <c r="C46" s="95"/>
      <c r="D46" s="95"/>
      <c r="E46" s="95"/>
      <c r="F46" s="95"/>
      <c r="G46" s="95"/>
      <c r="H46" s="95"/>
      <c r="I46" s="93">
        <v>332.0</v>
      </c>
      <c r="J46" s="93">
        <v>202.0</v>
      </c>
      <c r="K46" s="93">
        <v>332.0</v>
      </c>
      <c r="L46" s="93">
        <v>263.0</v>
      </c>
      <c r="M46" s="93">
        <v>375.0</v>
      </c>
      <c r="N46" s="93">
        <v>416.0</v>
      </c>
      <c r="O46" s="93">
        <v>321.0</v>
      </c>
      <c r="P46" s="93">
        <v>256.0</v>
      </c>
      <c r="Q46" s="93">
        <v>314.0</v>
      </c>
      <c r="R46" s="93">
        <v>360.0</v>
      </c>
      <c r="S46" s="93">
        <v>169.0</v>
      </c>
      <c r="T46" s="93">
        <v>453.0</v>
      </c>
      <c r="U46" s="93">
        <v>268.0</v>
      </c>
      <c r="V46" s="94">
        <v>324.0</v>
      </c>
      <c r="W46" s="35">
        <f t="shared" si="9"/>
        <v>4385</v>
      </c>
      <c r="X46" s="36"/>
    </row>
    <row r="47">
      <c r="A47" s="67" t="s">
        <v>44</v>
      </c>
      <c r="B47" s="91" t="s">
        <v>45</v>
      </c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6"/>
      <c r="Q47" s="96"/>
      <c r="R47" s="96"/>
      <c r="S47" s="96"/>
      <c r="T47" s="96"/>
      <c r="U47" s="96"/>
      <c r="V47" s="97"/>
      <c r="W47" s="35"/>
      <c r="X47" s="36"/>
    </row>
    <row r="48">
      <c r="A48" s="25" t="s">
        <v>49</v>
      </c>
      <c r="B48" s="88"/>
      <c r="C48" s="2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5"/>
      <c r="W48" s="28"/>
      <c r="X48" s="29"/>
    </row>
    <row r="49">
      <c r="A49" s="67" t="s">
        <v>32</v>
      </c>
      <c r="B49" s="90" t="s">
        <v>40</v>
      </c>
      <c r="C49" s="72"/>
      <c r="D49" s="72"/>
      <c r="E49" s="72"/>
      <c r="F49" s="72"/>
      <c r="G49" s="72"/>
      <c r="H49" s="72"/>
      <c r="I49" s="69">
        <v>12.0</v>
      </c>
      <c r="J49" s="69">
        <v>6.0</v>
      </c>
      <c r="K49" s="69">
        <v>9.0</v>
      </c>
      <c r="L49" s="69">
        <v>9.0</v>
      </c>
      <c r="M49" s="69">
        <v>9.0</v>
      </c>
      <c r="N49" s="69">
        <v>10.0</v>
      </c>
      <c r="O49" s="69">
        <v>7.0</v>
      </c>
      <c r="P49" s="69">
        <v>5.0</v>
      </c>
      <c r="Q49" s="69">
        <v>6.0</v>
      </c>
      <c r="R49" s="69">
        <v>2.0</v>
      </c>
      <c r="S49" s="69">
        <v>3.0</v>
      </c>
      <c r="T49" s="69">
        <v>2.0</v>
      </c>
      <c r="U49" s="69">
        <v>0.0</v>
      </c>
      <c r="V49" s="69">
        <v>0.0</v>
      </c>
      <c r="W49" s="35">
        <f t="shared" ref="W49:W51" si="10">sum(C49:V49)</f>
        <v>80</v>
      </c>
      <c r="X49" s="70"/>
    </row>
    <row r="50">
      <c r="A50" s="67" t="s">
        <v>41</v>
      </c>
      <c r="B50" s="59" t="s">
        <v>29</v>
      </c>
      <c r="C50" s="72"/>
      <c r="D50" s="72"/>
      <c r="E50" s="72"/>
      <c r="F50" s="72"/>
      <c r="G50" s="72"/>
      <c r="H50" s="72"/>
      <c r="I50" s="73">
        <v>69.0</v>
      </c>
      <c r="J50" s="73">
        <v>51.0</v>
      </c>
      <c r="K50" s="73">
        <v>56.0</v>
      </c>
      <c r="L50" s="73">
        <v>47.0</v>
      </c>
      <c r="M50" s="73">
        <v>98.0</v>
      </c>
      <c r="N50" s="73">
        <v>132.0</v>
      </c>
      <c r="O50" s="73">
        <v>104.0</v>
      </c>
      <c r="P50" s="73">
        <v>88.0</v>
      </c>
      <c r="Q50" s="73">
        <v>63.0</v>
      </c>
      <c r="R50" s="73">
        <v>38.0</v>
      </c>
      <c r="S50" s="73">
        <v>33.0</v>
      </c>
      <c r="T50" s="73">
        <v>36.0</v>
      </c>
      <c r="U50" s="73">
        <v>0.0</v>
      </c>
      <c r="V50" s="73">
        <v>0.0</v>
      </c>
      <c r="W50" s="35">
        <f t="shared" si="10"/>
        <v>815</v>
      </c>
      <c r="X50" s="36"/>
    </row>
    <row r="51">
      <c r="A51" s="67" t="s">
        <v>42</v>
      </c>
      <c r="B51" s="91" t="s">
        <v>43</v>
      </c>
      <c r="C51" s="92"/>
      <c r="D51" s="92"/>
      <c r="E51" s="92"/>
      <c r="F51" s="92"/>
      <c r="G51" s="92"/>
      <c r="H51" s="92"/>
      <c r="I51" s="93">
        <v>1623.0</v>
      </c>
      <c r="J51" s="93">
        <v>1154.0</v>
      </c>
      <c r="K51" s="93">
        <v>1397.0</v>
      </c>
      <c r="L51" s="93">
        <v>1343.0</v>
      </c>
      <c r="M51" s="93">
        <v>1715.0</v>
      </c>
      <c r="N51" s="93">
        <v>1676.0</v>
      </c>
      <c r="O51" s="93">
        <v>1299.0</v>
      </c>
      <c r="P51" s="93">
        <v>915.0</v>
      </c>
      <c r="Q51" s="93">
        <v>962.0</v>
      </c>
      <c r="R51" s="93">
        <v>461.0</v>
      </c>
      <c r="S51" s="93">
        <v>485.0</v>
      </c>
      <c r="T51" s="93">
        <v>345.0</v>
      </c>
      <c r="U51" s="93">
        <v>0.0</v>
      </c>
      <c r="V51" s="94">
        <v>0.0</v>
      </c>
      <c r="W51" s="35">
        <f t="shared" si="10"/>
        <v>13375</v>
      </c>
      <c r="X51" s="76"/>
    </row>
    <row r="52">
      <c r="A52" s="67" t="s">
        <v>44</v>
      </c>
      <c r="B52" s="91" t="s">
        <v>45</v>
      </c>
      <c r="C52" s="98"/>
      <c r="D52" s="98"/>
      <c r="E52" s="98"/>
      <c r="F52" s="98"/>
      <c r="G52" s="98"/>
      <c r="H52" s="98"/>
      <c r="I52" s="95"/>
      <c r="J52" s="95"/>
      <c r="K52" s="95"/>
      <c r="L52" s="95"/>
      <c r="M52" s="95"/>
      <c r="N52" s="95"/>
      <c r="O52" s="95"/>
      <c r="P52" s="99"/>
      <c r="Q52" s="99"/>
      <c r="R52" s="99"/>
      <c r="S52" s="99"/>
      <c r="T52" s="99"/>
      <c r="U52" s="99"/>
      <c r="V52" s="100"/>
      <c r="W52" s="97"/>
      <c r="X52" s="101"/>
    </row>
    <row r="53">
      <c r="A53" s="102" t="s">
        <v>50</v>
      </c>
      <c r="B53" s="103"/>
      <c r="C53" s="104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6"/>
      <c r="W53" s="107"/>
      <c r="X53" s="108"/>
    </row>
    <row r="54">
      <c r="A54" s="109" t="s">
        <v>33</v>
      </c>
      <c r="B54" s="110" t="s">
        <v>29</v>
      </c>
      <c r="C54" s="111"/>
      <c r="D54" s="111"/>
      <c r="E54" s="111"/>
      <c r="F54" s="111"/>
      <c r="G54" s="111"/>
      <c r="H54" s="111"/>
      <c r="I54" s="112">
        <v>95.0</v>
      </c>
      <c r="J54" s="112">
        <v>104.0</v>
      </c>
      <c r="K54" s="112">
        <v>82.0</v>
      </c>
      <c r="L54" s="112">
        <v>145.0</v>
      </c>
      <c r="M54" s="112">
        <v>115.0</v>
      </c>
      <c r="N54" s="112">
        <v>51.0</v>
      </c>
      <c r="O54" s="112">
        <v>100.0</v>
      </c>
      <c r="P54" s="112">
        <v>134.0</v>
      </c>
      <c r="Q54" s="112">
        <v>77.0</v>
      </c>
      <c r="R54" s="112">
        <v>71.0</v>
      </c>
      <c r="S54" s="112">
        <v>24.0</v>
      </c>
      <c r="T54" s="112">
        <v>15.0</v>
      </c>
      <c r="U54" s="112">
        <v>39.0</v>
      </c>
      <c r="V54" s="113">
        <v>40.0</v>
      </c>
      <c r="W54" s="114">
        <f>sum(C54:V54)</f>
        <v>1092</v>
      </c>
      <c r="X54" s="112" t="s">
        <v>51</v>
      </c>
    </row>
    <row r="55">
      <c r="A55" s="81"/>
      <c r="B55" s="82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4"/>
      <c r="X55" s="115"/>
    </row>
    <row r="56">
      <c r="A56" s="81"/>
      <c r="B56" s="82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4"/>
      <c r="X56" s="85"/>
    </row>
    <row r="57">
      <c r="A57" s="116" t="s">
        <v>52</v>
      </c>
      <c r="B57" s="117"/>
      <c r="C57" s="2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5"/>
      <c r="W57" s="86"/>
      <c r="X57" s="87"/>
    </row>
    <row r="58">
      <c r="A58" s="118" t="s">
        <v>53</v>
      </c>
      <c r="B58" s="119" t="s">
        <v>29</v>
      </c>
      <c r="C58" s="68"/>
      <c r="D58" s="68"/>
      <c r="E58" s="68"/>
      <c r="F58" s="68"/>
      <c r="G58" s="69">
        <v>2268.0</v>
      </c>
      <c r="H58" s="75"/>
      <c r="I58" s="69">
        <v>3276.0</v>
      </c>
      <c r="J58" s="69">
        <v>3440.0</v>
      </c>
      <c r="K58" s="69">
        <v>3379.0</v>
      </c>
      <c r="L58" s="69">
        <v>3764.0</v>
      </c>
      <c r="M58" s="69">
        <v>3675.0</v>
      </c>
      <c r="N58" s="69">
        <v>3809.0</v>
      </c>
      <c r="O58" s="69">
        <v>4202.0</v>
      </c>
      <c r="P58" s="69">
        <v>4113.0</v>
      </c>
      <c r="Q58" s="69">
        <v>3069.0</v>
      </c>
      <c r="R58" s="69">
        <v>2977.0</v>
      </c>
      <c r="S58" s="69">
        <v>1933.0</v>
      </c>
      <c r="T58" s="69">
        <v>2093.0</v>
      </c>
      <c r="U58" s="69">
        <v>1398.0</v>
      </c>
      <c r="V58" s="69">
        <v>1423.0</v>
      </c>
      <c r="W58" s="35">
        <f t="shared" ref="W58:W59" si="11">sum(C58:V58)</f>
        <v>44819</v>
      </c>
      <c r="X58" s="36"/>
    </row>
    <row r="59">
      <c r="A59" s="118" t="s">
        <v>54</v>
      </c>
      <c r="B59" s="91" t="s">
        <v>43</v>
      </c>
      <c r="C59" s="68"/>
      <c r="D59" s="68"/>
      <c r="E59" s="68"/>
      <c r="F59" s="68"/>
      <c r="G59" s="120">
        <v>866.0</v>
      </c>
      <c r="H59" s="75"/>
      <c r="I59" s="73">
        <v>2170.0</v>
      </c>
      <c r="J59" s="73">
        <v>2238.0</v>
      </c>
      <c r="K59" s="73">
        <v>2228.0</v>
      </c>
      <c r="L59" s="73">
        <v>2625.0</v>
      </c>
      <c r="M59" s="73">
        <v>2602.0</v>
      </c>
      <c r="N59" s="73">
        <v>2565.0</v>
      </c>
      <c r="O59" s="73">
        <v>2665.0</v>
      </c>
      <c r="P59" s="73">
        <v>2781.0</v>
      </c>
      <c r="Q59" s="73">
        <v>2070.0</v>
      </c>
      <c r="R59" s="73">
        <v>2036.0</v>
      </c>
      <c r="S59" s="73">
        <v>1358.0</v>
      </c>
      <c r="T59" s="73">
        <v>1389.0</v>
      </c>
      <c r="U59" s="73">
        <v>775.0</v>
      </c>
      <c r="V59" s="73">
        <v>893.0</v>
      </c>
      <c r="W59" s="35">
        <f t="shared" si="11"/>
        <v>29261</v>
      </c>
      <c r="X59" s="36"/>
    </row>
    <row r="60">
      <c r="A60" s="118" t="s">
        <v>55</v>
      </c>
      <c r="B60" s="121" t="s">
        <v>45</v>
      </c>
      <c r="C60" s="68"/>
      <c r="D60" s="68"/>
      <c r="E60" s="68"/>
      <c r="F60" s="68"/>
      <c r="G60" s="122"/>
      <c r="H60" s="75"/>
      <c r="I60" s="122"/>
      <c r="J60" s="122"/>
      <c r="K60" s="122"/>
      <c r="L60" s="122"/>
      <c r="M60" s="122"/>
      <c r="N60" s="69"/>
      <c r="O60" s="69"/>
      <c r="P60" s="69"/>
      <c r="Q60" s="69"/>
      <c r="R60" s="69"/>
      <c r="S60" s="69"/>
      <c r="T60" s="69"/>
      <c r="U60" s="69"/>
      <c r="V60" s="69"/>
      <c r="W60" s="35"/>
      <c r="X60" s="42" t="s">
        <v>56</v>
      </c>
    </row>
    <row r="61">
      <c r="A61" s="118" t="s">
        <v>57</v>
      </c>
      <c r="B61" s="123" t="s">
        <v>58</v>
      </c>
      <c r="C61" s="68"/>
      <c r="D61" s="68"/>
      <c r="E61" s="68"/>
      <c r="F61" s="68"/>
      <c r="G61" s="120">
        <v>1007.0</v>
      </c>
      <c r="H61" s="75"/>
      <c r="I61" s="122">
        <v>718.0</v>
      </c>
      <c r="J61" s="122">
        <v>531.0</v>
      </c>
      <c r="K61" s="122">
        <v>512.0</v>
      </c>
      <c r="L61" s="122">
        <v>518.0</v>
      </c>
      <c r="M61" s="122">
        <v>394.0</v>
      </c>
      <c r="N61" s="69">
        <v>579.0</v>
      </c>
      <c r="O61" s="69">
        <v>631.0</v>
      </c>
      <c r="P61" s="69">
        <v>878.0</v>
      </c>
      <c r="Q61" s="69">
        <v>402.0</v>
      </c>
      <c r="R61" s="69">
        <v>370.0</v>
      </c>
      <c r="S61" s="69">
        <v>217.0</v>
      </c>
      <c r="T61" s="69">
        <v>252.0</v>
      </c>
      <c r="U61" s="69">
        <v>162.0</v>
      </c>
      <c r="V61" s="69">
        <v>157.0</v>
      </c>
      <c r="W61" s="35">
        <f>SUM(B61:V61)</f>
        <v>7328</v>
      </c>
      <c r="X61" s="36"/>
    </row>
    <row r="62">
      <c r="A62" s="118" t="s">
        <v>59</v>
      </c>
      <c r="B62" s="119" t="s">
        <v>29</v>
      </c>
      <c r="C62" s="68"/>
      <c r="D62" s="68"/>
      <c r="E62" s="68"/>
      <c r="F62" s="68"/>
      <c r="G62" s="122">
        <v>44.0</v>
      </c>
      <c r="H62" s="75"/>
      <c r="I62" s="122">
        <v>119.0</v>
      </c>
      <c r="J62" s="122">
        <v>228.0</v>
      </c>
      <c r="K62" s="122">
        <v>203.0</v>
      </c>
      <c r="L62" s="122">
        <v>175.0</v>
      </c>
      <c r="M62" s="122">
        <v>197.0</v>
      </c>
      <c r="N62" s="69">
        <v>79.0</v>
      </c>
      <c r="O62" s="69">
        <v>70.0</v>
      </c>
      <c r="P62" s="69">
        <v>91.0</v>
      </c>
      <c r="Q62" s="69">
        <v>157.0</v>
      </c>
      <c r="R62" s="69">
        <v>118.0</v>
      </c>
      <c r="S62" s="69">
        <v>82.0</v>
      </c>
      <c r="T62" s="69">
        <v>185.0</v>
      </c>
      <c r="U62" s="69">
        <v>88.0</v>
      </c>
      <c r="V62" s="69">
        <v>135.0</v>
      </c>
      <c r="W62" s="35">
        <f>sum(C62:V62)</f>
        <v>1971</v>
      </c>
      <c r="X62" s="36"/>
    </row>
    <row r="63">
      <c r="A63" s="124" t="s">
        <v>60</v>
      </c>
      <c r="B63" s="125"/>
      <c r="C63" s="12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5"/>
      <c r="W63" s="28"/>
      <c r="X63" s="29"/>
    </row>
    <row r="64">
      <c r="A64" s="127" t="s">
        <v>33</v>
      </c>
      <c r="B64" s="128" t="s">
        <v>29</v>
      </c>
      <c r="C64" s="72"/>
      <c r="D64" s="72"/>
      <c r="E64" s="72"/>
      <c r="F64" s="72"/>
      <c r="G64" s="73">
        <v>420.0</v>
      </c>
      <c r="H64" s="72"/>
      <c r="I64" s="73">
        <v>668.0</v>
      </c>
      <c r="J64" s="73">
        <v>409.0</v>
      </c>
      <c r="K64" s="73">
        <v>780.0</v>
      </c>
      <c r="L64" s="73">
        <v>742.0</v>
      </c>
      <c r="M64" s="73">
        <v>956.0</v>
      </c>
      <c r="N64" s="73">
        <v>1017.0</v>
      </c>
      <c r="O64" s="73">
        <v>1089.0</v>
      </c>
      <c r="P64" s="73">
        <v>832.0</v>
      </c>
      <c r="Q64" s="73">
        <v>672.0</v>
      </c>
      <c r="R64" s="73">
        <v>713.0</v>
      </c>
      <c r="S64" s="73">
        <v>573.0</v>
      </c>
      <c r="T64" s="73">
        <v>656.0</v>
      </c>
      <c r="U64" s="73">
        <v>443.0</v>
      </c>
      <c r="V64" s="73">
        <v>460.0</v>
      </c>
      <c r="W64" s="35">
        <f>sum(C64:V64)</f>
        <v>10430</v>
      </c>
      <c r="X64" s="36"/>
    </row>
    <row r="65">
      <c r="A65" s="124" t="s">
        <v>61</v>
      </c>
      <c r="B65" s="125"/>
      <c r="C65" s="12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5"/>
      <c r="W65" s="28"/>
      <c r="X65" s="29"/>
    </row>
    <row r="66">
      <c r="A66" s="127" t="s">
        <v>62</v>
      </c>
      <c r="B66" s="128" t="s">
        <v>29</v>
      </c>
      <c r="C66" s="129"/>
      <c r="D66" s="129"/>
      <c r="E66" s="129"/>
      <c r="F66" s="129"/>
      <c r="G66" s="129"/>
      <c r="H66" s="129"/>
      <c r="I66" s="73">
        <v>221.0</v>
      </c>
      <c r="J66" s="73">
        <v>214.0</v>
      </c>
      <c r="K66" s="73">
        <v>200.0</v>
      </c>
      <c r="L66" s="73">
        <v>209.0</v>
      </c>
      <c r="M66" s="73">
        <v>233.0</v>
      </c>
      <c r="N66" s="73">
        <v>227.0</v>
      </c>
      <c r="O66" s="73">
        <v>303.0</v>
      </c>
      <c r="P66" s="73">
        <v>323.0</v>
      </c>
      <c r="Q66" s="73">
        <v>286.0</v>
      </c>
      <c r="R66" s="73">
        <v>281.0</v>
      </c>
      <c r="S66" s="73">
        <v>194.0</v>
      </c>
      <c r="T66" s="73">
        <v>242.0</v>
      </c>
      <c r="U66" s="73">
        <v>192.0</v>
      </c>
      <c r="V66" s="73">
        <v>151.0</v>
      </c>
      <c r="W66" s="35">
        <f>sum(C66:V66)</f>
        <v>3276</v>
      </c>
      <c r="X66" s="36"/>
    </row>
    <row r="67">
      <c r="A67" s="124" t="s">
        <v>63</v>
      </c>
      <c r="B67" s="125"/>
      <c r="C67" s="126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5"/>
      <c r="W67" s="28"/>
      <c r="X67" s="29"/>
    </row>
    <row r="68">
      <c r="A68" s="127" t="s">
        <v>33</v>
      </c>
      <c r="B68" s="128" t="s">
        <v>29</v>
      </c>
      <c r="C68" s="129"/>
      <c r="D68" s="129"/>
      <c r="E68" s="129"/>
      <c r="F68" s="129"/>
      <c r="G68" s="73">
        <v>889.0</v>
      </c>
      <c r="H68" s="129"/>
      <c r="I68" s="73">
        <v>877.0</v>
      </c>
      <c r="J68" s="73">
        <v>1107.0</v>
      </c>
      <c r="K68" s="73">
        <v>1058.0</v>
      </c>
      <c r="L68" s="73">
        <v>1424.0</v>
      </c>
      <c r="M68" s="73">
        <v>1087.0</v>
      </c>
      <c r="N68" s="73">
        <v>1330.0</v>
      </c>
      <c r="O68" s="73">
        <v>1575.0</v>
      </c>
      <c r="P68" s="73">
        <v>1557.0</v>
      </c>
      <c r="Q68" s="73">
        <v>1235.0</v>
      </c>
      <c r="R68" s="73">
        <v>1268.0</v>
      </c>
      <c r="S68" s="73">
        <v>1255.0</v>
      </c>
      <c r="T68" s="73">
        <v>1025.0</v>
      </c>
      <c r="U68" s="73">
        <v>723.0</v>
      </c>
      <c r="V68" s="73">
        <v>886.0</v>
      </c>
      <c r="W68" s="35">
        <f>sum(C68:V68)</f>
        <v>17296</v>
      </c>
      <c r="X68" s="36"/>
    </row>
    <row r="69">
      <c r="A69" s="124" t="s">
        <v>64</v>
      </c>
      <c r="B69" s="125"/>
      <c r="C69" s="126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5"/>
      <c r="W69" s="28"/>
      <c r="X69" s="29"/>
    </row>
    <row r="70">
      <c r="A70" s="130" t="s">
        <v>65</v>
      </c>
      <c r="B70" s="128" t="s">
        <v>29</v>
      </c>
      <c r="C70" s="129"/>
      <c r="D70" s="129"/>
      <c r="E70" s="129"/>
      <c r="F70" s="129"/>
      <c r="G70" s="131"/>
      <c r="H70" s="129"/>
      <c r="I70" s="73">
        <v>289.0</v>
      </c>
      <c r="J70" s="73">
        <v>276.0</v>
      </c>
      <c r="K70" s="73">
        <v>291.0</v>
      </c>
      <c r="L70" s="73">
        <v>271.0</v>
      </c>
      <c r="M70" s="73">
        <v>265.0</v>
      </c>
      <c r="N70" s="73">
        <v>286.0</v>
      </c>
      <c r="O70" s="73">
        <v>303.0</v>
      </c>
      <c r="P70" s="73">
        <v>298.0</v>
      </c>
      <c r="Q70" s="73">
        <v>234.0</v>
      </c>
      <c r="R70" s="73">
        <v>260.0</v>
      </c>
      <c r="S70" s="73">
        <v>216.0</v>
      </c>
      <c r="T70" s="73">
        <v>221.0</v>
      </c>
      <c r="U70" s="73">
        <v>177.0</v>
      </c>
      <c r="V70" s="34">
        <v>176.0</v>
      </c>
      <c r="W70" s="35">
        <f>sum(C70:V70)</f>
        <v>3563</v>
      </c>
      <c r="X70" s="36"/>
    </row>
    <row r="71">
      <c r="A71" s="124" t="s">
        <v>66</v>
      </c>
      <c r="B71" s="125"/>
      <c r="C71" s="12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5"/>
      <c r="W71" s="28"/>
      <c r="X71" s="29"/>
    </row>
    <row r="72">
      <c r="A72" s="130" t="s">
        <v>67</v>
      </c>
      <c r="B72" s="91" t="s">
        <v>43</v>
      </c>
      <c r="C72" s="129"/>
      <c r="D72" s="129"/>
      <c r="E72" s="129"/>
      <c r="F72" s="129"/>
      <c r="G72" s="129"/>
      <c r="H72" s="129"/>
      <c r="I72" s="73">
        <v>431.0</v>
      </c>
      <c r="J72" s="73">
        <v>408.0</v>
      </c>
      <c r="K72" s="73">
        <v>434.0</v>
      </c>
      <c r="L72" s="73">
        <v>341.0</v>
      </c>
      <c r="M72" s="73">
        <v>200.0</v>
      </c>
      <c r="N72" s="73">
        <v>159.0</v>
      </c>
      <c r="O72" s="73">
        <v>173.0</v>
      </c>
      <c r="P72" s="73">
        <v>143.0</v>
      </c>
      <c r="Q72" s="73">
        <v>123.0</v>
      </c>
      <c r="R72" s="73">
        <v>133.0</v>
      </c>
      <c r="S72" s="73">
        <v>62.0</v>
      </c>
      <c r="T72" s="73">
        <v>163.0</v>
      </c>
      <c r="U72" s="73">
        <v>115.0</v>
      </c>
      <c r="V72" s="73">
        <v>84.0</v>
      </c>
      <c r="W72" s="35">
        <f>sum(C72:V72)</f>
        <v>2969</v>
      </c>
      <c r="X72" s="76"/>
    </row>
    <row r="73">
      <c r="A73" s="124" t="s">
        <v>68</v>
      </c>
      <c r="B73" s="125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4"/>
      <c r="X73" s="115"/>
    </row>
    <row r="74">
      <c r="A74" s="130" t="s">
        <v>69</v>
      </c>
      <c r="B74" s="128" t="s">
        <v>70</v>
      </c>
      <c r="C74" s="129"/>
      <c r="D74" s="129"/>
      <c r="E74" s="129"/>
      <c r="F74" s="129"/>
      <c r="G74" s="73">
        <v>296.0</v>
      </c>
      <c r="H74" s="129"/>
      <c r="I74" s="73">
        <v>520.0</v>
      </c>
      <c r="J74" s="73">
        <v>346.0</v>
      </c>
      <c r="K74" s="73">
        <v>445.0</v>
      </c>
      <c r="L74" s="73">
        <v>319.0</v>
      </c>
      <c r="M74" s="73">
        <v>264.0</v>
      </c>
      <c r="N74" s="73">
        <v>441.0</v>
      </c>
      <c r="O74" s="73">
        <v>355.0</v>
      </c>
      <c r="P74" s="73">
        <v>33.0</v>
      </c>
      <c r="Q74" s="73">
        <v>137.0</v>
      </c>
      <c r="R74" s="73">
        <v>303.0</v>
      </c>
      <c r="S74" s="73">
        <v>371.0</v>
      </c>
      <c r="T74" s="73">
        <v>172.0</v>
      </c>
      <c r="U74" s="73">
        <v>0.0</v>
      </c>
      <c r="V74" s="34">
        <v>71.0</v>
      </c>
      <c r="W74" s="132">
        <f>sum(C74:V74)</f>
        <v>4073</v>
      </c>
      <c r="X74" s="133"/>
    </row>
    <row r="75">
      <c r="A75" s="81"/>
      <c r="B75" s="82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4"/>
      <c r="X75" s="85"/>
    </row>
    <row r="76">
      <c r="A76" s="20" t="s">
        <v>71</v>
      </c>
      <c r="B76" s="21"/>
      <c r="C76" s="2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5"/>
      <c r="W76" s="86"/>
      <c r="X76" s="87"/>
    </row>
    <row r="77">
      <c r="A77" s="134" t="s">
        <v>53</v>
      </c>
      <c r="B77" s="119" t="s">
        <v>29</v>
      </c>
      <c r="C77" s="75"/>
      <c r="D77" s="75"/>
      <c r="E77" s="75"/>
      <c r="F77" s="75"/>
      <c r="G77" s="69">
        <v>9738.0</v>
      </c>
      <c r="H77" s="75"/>
      <c r="I77" s="73">
        <v>12429.0</v>
      </c>
      <c r="J77" s="73">
        <v>11670.0</v>
      </c>
      <c r="K77" s="73">
        <v>10777.0</v>
      </c>
      <c r="L77" s="73">
        <v>10543.0</v>
      </c>
      <c r="M77" s="73">
        <v>12004.0</v>
      </c>
      <c r="N77" s="73">
        <v>14720.0</v>
      </c>
      <c r="O77" s="73">
        <v>15380.0</v>
      </c>
      <c r="P77" s="73">
        <v>13862.0</v>
      </c>
      <c r="Q77" s="73">
        <v>9624.0</v>
      </c>
      <c r="R77" s="73">
        <v>10527.0</v>
      </c>
      <c r="S77" s="73">
        <v>5990.0</v>
      </c>
      <c r="T77" s="73">
        <v>10330.0</v>
      </c>
      <c r="U77" s="73">
        <v>9231.0</v>
      </c>
      <c r="V77" s="73">
        <v>6365.0</v>
      </c>
      <c r="W77" s="35">
        <f t="shared" ref="W77:W78" si="12">sum(C77:V77)</f>
        <v>163190</v>
      </c>
      <c r="X77" s="135">
        <f>W83+W85+W90+W99+W101</f>
        <v>51779</v>
      </c>
    </row>
    <row r="78" hidden="1">
      <c r="A78" s="136" t="s">
        <v>18</v>
      </c>
      <c r="B78" s="137" t="s">
        <v>72</v>
      </c>
      <c r="C78" s="138"/>
      <c r="D78" s="138"/>
      <c r="E78" s="138"/>
      <c r="F78" s="138"/>
      <c r="G78" s="139"/>
      <c r="H78" s="138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40"/>
      <c r="W78" s="141">
        <f t="shared" si="12"/>
        <v>0</v>
      </c>
      <c r="X78" s="142"/>
    </row>
    <row r="79" hidden="1">
      <c r="A79" s="143" t="s">
        <v>73</v>
      </c>
      <c r="B79" s="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5"/>
      <c r="W79" s="146"/>
      <c r="X79" s="147"/>
    </row>
    <row r="80" hidden="1">
      <c r="A80" s="148" t="s">
        <v>62</v>
      </c>
      <c r="B80" s="149" t="s">
        <v>29</v>
      </c>
      <c r="C80" s="150"/>
      <c r="D80" s="150"/>
      <c r="E80" s="150"/>
      <c r="F80" s="150"/>
      <c r="G80" s="150"/>
      <c r="H80" s="150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2">
        <f>sum(C80:V80)</f>
        <v>0</v>
      </c>
      <c r="X80" s="153"/>
    </row>
    <row r="81">
      <c r="A81" s="25" t="s">
        <v>74</v>
      </c>
      <c r="B81" s="88"/>
      <c r="C81" s="27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5"/>
      <c r="W81" s="28"/>
      <c r="X81" s="29"/>
    </row>
    <row r="82">
      <c r="A82" s="67" t="s">
        <v>75</v>
      </c>
      <c r="B82" s="91" t="s">
        <v>76</v>
      </c>
      <c r="C82" s="72"/>
      <c r="D82" s="72"/>
      <c r="E82" s="72"/>
      <c r="F82" s="72"/>
      <c r="G82" s="73">
        <v>518.0</v>
      </c>
      <c r="H82" s="74"/>
      <c r="I82" s="73">
        <v>818.0</v>
      </c>
      <c r="J82" s="73">
        <v>843.0</v>
      </c>
      <c r="K82" s="73">
        <v>854.0</v>
      </c>
      <c r="L82" s="73">
        <v>836.0</v>
      </c>
      <c r="M82" s="73">
        <v>869.0</v>
      </c>
      <c r="N82" s="73">
        <v>882.0</v>
      </c>
      <c r="O82" s="73">
        <v>881.0</v>
      </c>
      <c r="P82" s="73">
        <v>997.0</v>
      </c>
      <c r="Q82" s="73">
        <v>873.0</v>
      </c>
      <c r="R82" s="73">
        <v>918.0</v>
      </c>
      <c r="S82" s="73">
        <v>530.0</v>
      </c>
      <c r="T82" s="73">
        <v>737.0</v>
      </c>
      <c r="U82" s="73">
        <v>518.0</v>
      </c>
      <c r="V82" s="73">
        <v>533.0</v>
      </c>
      <c r="W82" s="35">
        <f t="shared" ref="W82:W83" si="13">sum(C82:V82)</f>
        <v>11607</v>
      </c>
      <c r="X82" s="36"/>
    </row>
    <row r="83">
      <c r="A83" s="67" t="s">
        <v>33</v>
      </c>
      <c r="B83" s="91" t="s">
        <v>76</v>
      </c>
      <c r="C83" s="92"/>
      <c r="D83" s="92"/>
      <c r="E83" s="92"/>
      <c r="F83" s="92"/>
      <c r="G83" s="93">
        <v>1036.0</v>
      </c>
      <c r="H83" s="95"/>
      <c r="I83" s="93">
        <v>1636.0</v>
      </c>
      <c r="J83" s="93">
        <v>1686.0</v>
      </c>
      <c r="K83" s="93">
        <v>1708.0</v>
      </c>
      <c r="L83" s="93">
        <v>1672.0</v>
      </c>
      <c r="M83" s="93">
        <v>1739.0</v>
      </c>
      <c r="N83" s="93">
        <v>1764.0</v>
      </c>
      <c r="O83" s="93">
        <v>1762.0</v>
      </c>
      <c r="P83" s="93">
        <v>1994.0</v>
      </c>
      <c r="Q83" s="93">
        <v>1746.0</v>
      </c>
      <c r="R83" s="93">
        <v>1836.0</v>
      </c>
      <c r="S83" s="93">
        <v>1060.0</v>
      </c>
      <c r="T83" s="93">
        <v>1474.0</v>
      </c>
      <c r="U83" s="93">
        <v>1036.0</v>
      </c>
      <c r="V83" s="94">
        <v>1066.0</v>
      </c>
      <c r="W83" s="35">
        <f t="shared" si="13"/>
        <v>23215</v>
      </c>
      <c r="X83" s="42"/>
    </row>
    <row r="84">
      <c r="A84" s="25" t="s">
        <v>77</v>
      </c>
      <c r="B84" s="88"/>
      <c r="C84" s="27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5"/>
      <c r="W84" s="28"/>
      <c r="X84" s="29"/>
    </row>
    <row r="85">
      <c r="A85" s="67" t="s">
        <v>33</v>
      </c>
      <c r="B85" s="59" t="s">
        <v>29</v>
      </c>
      <c r="C85" s="72"/>
      <c r="D85" s="72"/>
      <c r="E85" s="72"/>
      <c r="F85" s="72"/>
      <c r="G85" s="72"/>
      <c r="H85" s="72"/>
      <c r="I85" s="73">
        <v>544.0</v>
      </c>
      <c r="J85" s="73">
        <v>385.0</v>
      </c>
      <c r="K85" s="73">
        <v>472.0</v>
      </c>
      <c r="L85" s="73">
        <v>447.0</v>
      </c>
      <c r="M85" s="73">
        <v>414.0</v>
      </c>
      <c r="N85" s="73">
        <v>510.0</v>
      </c>
      <c r="O85" s="73">
        <v>540.0</v>
      </c>
      <c r="P85" s="73">
        <v>527.0</v>
      </c>
      <c r="Q85" s="73">
        <v>481.0</v>
      </c>
      <c r="R85" s="73">
        <v>385.0</v>
      </c>
      <c r="S85" s="73">
        <v>305.0</v>
      </c>
      <c r="T85" s="73">
        <v>308.0</v>
      </c>
      <c r="U85" s="73">
        <v>335.0</v>
      </c>
      <c r="V85" s="34">
        <v>350.0</v>
      </c>
      <c r="W85" s="35">
        <f>sum(C85:V85)</f>
        <v>6003</v>
      </c>
      <c r="X85" s="42" t="s">
        <v>78</v>
      </c>
    </row>
    <row r="86">
      <c r="A86" s="154" t="s">
        <v>79</v>
      </c>
      <c r="B86" s="155" t="s">
        <v>77</v>
      </c>
      <c r="C86" s="72"/>
      <c r="D86" s="72"/>
      <c r="E86" s="72"/>
      <c r="F86" s="72"/>
      <c r="G86" s="72"/>
      <c r="H86" s="72"/>
      <c r="I86" s="69"/>
      <c r="J86" s="69"/>
      <c r="K86" s="69"/>
      <c r="L86" s="69">
        <v>308.0</v>
      </c>
      <c r="M86" s="69">
        <v>344.0</v>
      </c>
      <c r="N86" s="69">
        <v>298.0</v>
      </c>
      <c r="O86" s="69">
        <v>370.0</v>
      </c>
      <c r="P86" s="69">
        <v>295.0</v>
      </c>
      <c r="Q86" s="69">
        <v>295.0</v>
      </c>
      <c r="R86" s="69">
        <v>329.0</v>
      </c>
      <c r="S86" s="69">
        <v>246.0</v>
      </c>
      <c r="T86" s="69">
        <v>194.0</v>
      </c>
      <c r="U86" s="69"/>
      <c r="V86" s="156"/>
      <c r="W86" s="157">
        <f>sum(I86:V86)</f>
        <v>2679</v>
      </c>
      <c r="X86" s="158"/>
    </row>
    <row r="87">
      <c r="A87" s="154" t="s">
        <v>80</v>
      </c>
      <c r="B87" s="159" t="s">
        <v>81</v>
      </c>
      <c r="C87" s="72"/>
      <c r="D87" s="72"/>
      <c r="E87" s="72"/>
      <c r="F87" s="72"/>
      <c r="G87" s="72"/>
      <c r="H87" s="72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156"/>
      <c r="W87" s="157"/>
      <c r="X87" s="158"/>
    </row>
    <row r="88">
      <c r="A88" s="154" t="s">
        <v>82</v>
      </c>
      <c r="B88" s="159" t="s">
        <v>81</v>
      </c>
      <c r="C88" s="72"/>
      <c r="D88" s="72"/>
      <c r="E88" s="72"/>
      <c r="F88" s="72"/>
      <c r="G88" s="72"/>
      <c r="H88" s="72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156"/>
      <c r="W88" s="157"/>
      <c r="X88" s="158"/>
    </row>
    <row r="89">
      <c r="A89" s="25" t="s">
        <v>83</v>
      </c>
      <c r="B89" s="88"/>
      <c r="C89" s="27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5"/>
      <c r="W89" s="28"/>
      <c r="X89" s="29"/>
    </row>
    <row r="90">
      <c r="A90" s="67" t="s">
        <v>42</v>
      </c>
      <c r="B90" s="91" t="s">
        <v>43</v>
      </c>
      <c r="C90" s="72"/>
      <c r="D90" s="72"/>
      <c r="E90" s="72"/>
      <c r="F90" s="72"/>
      <c r="G90" s="160">
        <v>194.0</v>
      </c>
      <c r="H90" s="72"/>
      <c r="I90" s="73">
        <v>364.0</v>
      </c>
      <c r="J90" s="73">
        <v>342.0</v>
      </c>
      <c r="K90" s="73">
        <v>411.0</v>
      </c>
      <c r="L90" s="73">
        <v>372.0</v>
      </c>
      <c r="M90" s="73">
        <v>453.0</v>
      </c>
      <c r="N90" s="73">
        <v>469.0</v>
      </c>
      <c r="O90" s="73">
        <v>462.0</v>
      </c>
      <c r="P90" s="73">
        <v>473.0</v>
      </c>
      <c r="Q90" s="73">
        <v>410.0</v>
      </c>
      <c r="R90" s="73">
        <v>436.0</v>
      </c>
      <c r="S90" s="73">
        <v>285.0</v>
      </c>
      <c r="T90" s="73">
        <v>330.0</v>
      </c>
      <c r="U90" s="73">
        <v>257.0</v>
      </c>
      <c r="V90" s="34">
        <v>249.0</v>
      </c>
      <c r="W90" s="35">
        <f>SUM(B90:V90)</f>
        <v>5507</v>
      </c>
      <c r="X90" s="36"/>
    </row>
    <row r="91">
      <c r="A91" s="161" t="s">
        <v>44</v>
      </c>
      <c r="B91" s="155" t="s">
        <v>45</v>
      </c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156"/>
      <c r="W91" s="157"/>
      <c r="X91" s="158"/>
    </row>
    <row r="92">
      <c r="A92" s="161" t="s">
        <v>84</v>
      </c>
      <c r="B92" s="59" t="s">
        <v>29</v>
      </c>
      <c r="C92" s="69"/>
      <c r="D92" s="69"/>
      <c r="E92" s="69"/>
      <c r="F92" s="69"/>
      <c r="G92" s="69"/>
      <c r="H92" s="69"/>
      <c r="I92" s="69">
        <v>8.0</v>
      </c>
      <c r="J92" s="69">
        <v>13.0</v>
      </c>
      <c r="K92" s="69">
        <v>15.0</v>
      </c>
      <c r="L92" s="69">
        <v>18.0</v>
      </c>
      <c r="M92" s="69">
        <v>16.0</v>
      </c>
      <c r="N92" s="69">
        <v>22.0</v>
      </c>
      <c r="O92" s="69">
        <v>11.0</v>
      </c>
      <c r="P92" s="69">
        <v>5.0</v>
      </c>
      <c r="Q92" s="69">
        <v>20.0</v>
      </c>
      <c r="R92" s="69">
        <v>16.0</v>
      </c>
      <c r="S92" s="69">
        <v>9.0</v>
      </c>
      <c r="T92" s="69">
        <v>9.0</v>
      </c>
      <c r="U92" s="69">
        <v>10.0</v>
      </c>
      <c r="V92" s="156">
        <v>8.0</v>
      </c>
      <c r="W92" s="157">
        <f>SUM(B92:V92)</f>
        <v>180</v>
      </c>
      <c r="X92" s="158"/>
    </row>
    <row r="93">
      <c r="A93" s="25" t="s">
        <v>85</v>
      </c>
      <c r="B93" s="88"/>
      <c r="C93" s="27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5"/>
      <c r="W93" s="28"/>
      <c r="X93" s="29"/>
    </row>
    <row r="94">
      <c r="A94" s="67" t="s">
        <v>86</v>
      </c>
      <c r="B94" s="90" t="s">
        <v>40</v>
      </c>
      <c r="C94" s="72"/>
      <c r="D94" s="72"/>
      <c r="E94" s="72"/>
      <c r="F94" s="72"/>
      <c r="G94" s="72"/>
      <c r="H94" s="72"/>
      <c r="I94" s="73">
        <v>9.0</v>
      </c>
      <c r="J94" s="73">
        <v>8.0</v>
      </c>
      <c r="K94" s="73">
        <v>6.0</v>
      </c>
      <c r="L94" s="73">
        <v>11.0</v>
      </c>
      <c r="M94" s="73">
        <v>7.0</v>
      </c>
      <c r="N94" s="73">
        <v>10.0</v>
      </c>
      <c r="O94" s="73">
        <v>12.0</v>
      </c>
      <c r="P94" s="73">
        <v>6.0</v>
      </c>
      <c r="Q94" s="73">
        <v>4.0</v>
      </c>
      <c r="R94" s="73">
        <v>0.0</v>
      </c>
      <c r="S94" s="73">
        <v>1.0</v>
      </c>
      <c r="T94" s="73">
        <v>0.0</v>
      </c>
      <c r="U94" s="73">
        <v>1.0</v>
      </c>
      <c r="V94" s="34">
        <v>3.0</v>
      </c>
      <c r="W94" s="35">
        <f t="shared" ref="W94:W96" si="14">sum(C94:V94)</f>
        <v>78</v>
      </c>
      <c r="X94" s="42"/>
    </row>
    <row r="95">
      <c r="A95" s="67" t="s">
        <v>41</v>
      </c>
      <c r="B95" s="59" t="s">
        <v>29</v>
      </c>
      <c r="C95" s="72"/>
      <c r="D95" s="72"/>
      <c r="E95" s="72"/>
      <c r="F95" s="72"/>
      <c r="G95" s="72"/>
      <c r="H95" s="72"/>
      <c r="I95" s="73">
        <v>197.0</v>
      </c>
      <c r="J95" s="73">
        <v>124.0</v>
      </c>
      <c r="K95" s="73">
        <v>127.0</v>
      </c>
      <c r="L95" s="73">
        <v>149.0</v>
      </c>
      <c r="M95" s="73">
        <v>195.0</v>
      </c>
      <c r="N95" s="73">
        <v>159.0</v>
      </c>
      <c r="O95" s="73">
        <v>149.0</v>
      </c>
      <c r="P95" s="73">
        <v>8.0</v>
      </c>
      <c r="Q95" s="73">
        <v>61.0</v>
      </c>
      <c r="R95" s="73">
        <v>10.0</v>
      </c>
      <c r="S95" s="73">
        <v>5.0</v>
      </c>
      <c r="T95" s="73">
        <v>0.0</v>
      </c>
      <c r="U95" s="73">
        <v>8.0</v>
      </c>
      <c r="V95" s="34">
        <v>9.0</v>
      </c>
      <c r="W95" s="35">
        <f t="shared" si="14"/>
        <v>1201</v>
      </c>
      <c r="X95" s="36"/>
    </row>
    <row r="96">
      <c r="A96" s="67" t="s">
        <v>42</v>
      </c>
      <c r="B96" s="91" t="s">
        <v>43</v>
      </c>
      <c r="C96" s="92"/>
      <c r="D96" s="92"/>
      <c r="E96" s="92"/>
      <c r="F96" s="92"/>
      <c r="G96" s="92"/>
      <c r="H96" s="92"/>
      <c r="I96" s="93">
        <v>648.0</v>
      </c>
      <c r="J96" s="93">
        <v>620.0</v>
      </c>
      <c r="K96" s="93">
        <v>717.0</v>
      </c>
      <c r="L96" s="93">
        <v>780.0</v>
      </c>
      <c r="M96" s="93">
        <v>947.0</v>
      </c>
      <c r="N96" s="93">
        <v>1074.0</v>
      </c>
      <c r="O96" s="93">
        <v>883.0</v>
      </c>
      <c r="P96" s="93">
        <v>620.0</v>
      </c>
      <c r="Q96" s="93">
        <v>679.0</v>
      </c>
      <c r="R96" s="93">
        <v>280.0</v>
      </c>
      <c r="S96" s="93">
        <v>145.0</v>
      </c>
      <c r="T96" s="93">
        <v>0.0</v>
      </c>
      <c r="U96" s="93">
        <v>0.0</v>
      </c>
      <c r="V96" s="94">
        <v>228.0</v>
      </c>
      <c r="W96" s="35">
        <f t="shared" si="14"/>
        <v>7621</v>
      </c>
      <c r="X96" s="162"/>
    </row>
    <row r="97">
      <c r="A97" s="163" t="s">
        <v>44</v>
      </c>
      <c r="B97" s="164" t="s">
        <v>45</v>
      </c>
      <c r="C97" s="92"/>
      <c r="D97" s="92"/>
      <c r="E97" s="92"/>
      <c r="F97" s="92"/>
      <c r="G97" s="92"/>
      <c r="H97" s="92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7"/>
      <c r="W97" s="35"/>
      <c r="X97" s="162"/>
    </row>
    <row r="98">
      <c r="A98" s="25" t="s">
        <v>87</v>
      </c>
      <c r="B98" s="88"/>
      <c r="C98" s="27" t="s">
        <v>88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5"/>
      <c r="W98" s="28"/>
      <c r="X98" s="29"/>
    </row>
    <row r="99">
      <c r="A99" s="67" t="s">
        <v>62</v>
      </c>
      <c r="B99" s="59" t="s">
        <v>29</v>
      </c>
      <c r="C99" s="72"/>
      <c r="D99" s="72"/>
      <c r="E99" s="72"/>
      <c r="F99" s="72"/>
      <c r="G99" s="73">
        <v>672.0</v>
      </c>
      <c r="H99" s="72"/>
      <c r="I99" s="73">
        <v>734.0</v>
      </c>
      <c r="J99" s="73">
        <v>868.0</v>
      </c>
      <c r="K99" s="73">
        <v>745.0</v>
      </c>
      <c r="L99" s="73">
        <v>762.0</v>
      </c>
      <c r="M99" s="73">
        <v>848.0</v>
      </c>
      <c r="N99" s="73">
        <v>993.0</v>
      </c>
      <c r="O99" s="73">
        <v>1165.0</v>
      </c>
      <c r="P99" s="73">
        <v>1744.0</v>
      </c>
      <c r="Q99" s="73">
        <v>491.0</v>
      </c>
      <c r="R99" s="73">
        <v>938.0</v>
      </c>
      <c r="S99" s="73">
        <v>568.0</v>
      </c>
      <c r="T99" s="73">
        <v>765.0</v>
      </c>
      <c r="U99" s="73">
        <v>471.0</v>
      </c>
      <c r="V99" s="34">
        <v>560.0</v>
      </c>
      <c r="W99" s="35">
        <f>sum(C99:V99)</f>
        <v>12324</v>
      </c>
      <c r="X99" s="36"/>
    </row>
    <row r="100">
      <c r="A100" s="25" t="s">
        <v>89</v>
      </c>
      <c r="B100" s="88"/>
      <c r="C100" s="27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5"/>
      <c r="W100" s="28"/>
      <c r="X100" s="29"/>
    </row>
    <row r="101">
      <c r="A101" s="165" t="s">
        <v>90</v>
      </c>
      <c r="B101" s="166" t="s">
        <v>91</v>
      </c>
      <c r="C101" s="167"/>
      <c r="D101" s="167"/>
      <c r="E101" s="167"/>
      <c r="F101" s="167"/>
      <c r="G101" s="168">
        <v>136.0</v>
      </c>
      <c r="H101" s="167"/>
      <c r="I101" s="73">
        <v>505.0</v>
      </c>
      <c r="J101" s="73">
        <v>404.0</v>
      </c>
      <c r="K101" s="73">
        <v>110.0</v>
      </c>
      <c r="L101" s="73">
        <v>378.0</v>
      </c>
      <c r="M101" s="73">
        <v>344.0</v>
      </c>
      <c r="N101" s="73">
        <v>379.0</v>
      </c>
      <c r="O101" s="73">
        <v>389.0</v>
      </c>
      <c r="P101" s="73">
        <v>363.0</v>
      </c>
      <c r="Q101" s="73">
        <v>335.0</v>
      </c>
      <c r="R101" s="73">
        <v>331.0</v>
      </c>
      <c r="S101" s="73">
        <v>244.0</v>
      </c>
      <c r="T101" s="73">
        <v>338.0</v>
      </c>
      <c r="U101" s="73">
        <v>231.0</v>
      </c>
      <c r="V101" s="34">
        <v>243.0</v>
      </c>
      <c r="W101" s="169">
        <f>sum(C101:V101)</f>
        <v>4730</v>
      </c>
      <c r="X101" s="170" t="s">
        <v>92</v>
      </c>
    </row>
    <row r="102">
      <c r="A102" s="81"/>
      <c r="B102" s="82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171"/>
      <c r="Q102" s="83"/>
      <c r="R102" s="83"/>
      <c r="S102" s="83"/>
      <c r="T102" s="83"/>
      <c r="U102" s="83"/>
      <c r="V102" s="83"/>
      <c r="W102" s="172"/>
      <c r="X102" s="133"/>
    </row>
    <row r="103">
      <c r="A103" s="81"/>
      <c r="B103" s="82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171"/>
      <c r="Q103" s="83"/>
      <c r="R103" s="83"/>
      <c r="S103" s="83"/>
      <c r="T103" s="83"/>
      <c r="U103" s="83"/>
      <c r="V103" s="83"/>
      <c r="W103" s="172"/>
      <c r="X103" s="173"/>
    </row>
    <row r="104">
      <c r="A104" s="20" t="s">
        <v>93</v>
      </c>
      <c r="B104" s="21"/>
      <c r="C104" s="2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5"/>
      <c r="W104" s="86"/>
      <c r="X104" s="87"/>
    </row>
    <row r="105">
      <c r="A105" s="25" t="s">
        <v>94</v>
      </c>
      <c r="B105" s="88"/>
      <c r="C105" s="27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5"/>
      <c r="W105" s="28"/>
      <c r="X105" s="29"/>
    </row>
    <row r="106">
      <c r="A106" s="118" t="s">
        <v>95</v>
      </c>
      <c r="B106" s="91" t="s">
        <v>43</v>
      </c>
      <c r="C106" s="72"/>
      <c r="D106" s="72"/>
      <c r="E106" s="72"/>
      <c r="F106" s="72"/>
      <c r="G106" s="72"/>
      <c r="H106" s="72"/>
      <c r="I106" s="73">
        <v>1349.0</v>
      </c>
      <c r="J106" s="73">
        <v>1349.0</v>
      </c>
      <c r="K106" s="73">
        <v>1451.0</v>
      </c>
      <c r="L106" s="73">
        <v>1242.0</v>
      </c>
      <c r="M106" s="73">
        <v>1391.0</v>
      </c>
      <c r="N106" s="73">
        <v>1404.0</v>
      </c>
      <c r="O106" s="73">
        <v>1425.0</v>
      </c>
      <c r="P106" s="73">
        <v>1392.0</v>
      </c>
      <c r="Q106" s="73">
        <v>1279.0</v>
      </c>
      <c r="R106" s="73">
        <v>1300.0</v>
      </c>
      <c r="S106" s="72"/>
      <c r="T106" s="72"/>
      <c r="U106" s="72"/>
      <c r="V106" s="174"/>
      <c r="W106" s="35">
        <f>sum(C106:V106)</f>
        <v>13582</v>
      </c>
      <c r="X106" s="36"/>
    </row>
    <row r="107">
      <c r="A107" s="118" t="s">
        <v>57</v>
      </c>
      <c r="B107" s="91" t="s">
        <v>58</v>
      </c>
      <c r="C107" s="167"/>
      <c r="D107" s="167"/>
      <c r="E107" s="167"/>
      <c r="F107" s="167"/>
      <c r="G107" s="167"/>
      <c r="H107" s="167"/>
      <c r="I107" s="168">
        <v>232.0</v>
      </c>
      <c r="J107" s="168">
        <v>287.0</v>
      </c>
      <c r="K107" s="168">
        <v>274.0</v>
      </c>
      <c r="L107" s="168">
        <v>130.0</v>
      </c>
      <c r="M107" s="168">
        <v>89.0</v>
      </c>
      <c r="N107" s="168">
        <v>107.0</v>
      </c>
      <c r="O107" s="168">
        <v>229.0</v>
      </c>
      <c r="P107" s="168">
        <v>161.0</v>
      </c>
      <c r="Q107" s="168">
        <v>114.0</v>
      </c>
      <c r="R107" s="168">
        <v>108.0</v>
      </c>
      <c r="S107" s="167"/>
      <c r="T107" s="167"/>
      <c r="U107" s="167"/>
      <c r="V107" s="175"/>
      <c r="W107" s="35">
        <f>SUM(B107:V107)</f>
        <v>1731</v>
      </c>
      <c r="X107" s="176"/>
    </row>
    <row r="108">
      <c r="A108" s="177" t="s">
        <v>96</v>
      </c>
      <c r="B108" s="91" t="s">
        <v>43</v>
      </c>
      <c r="C108" s="167"/>
      <c r="D108" s="167"/>
      <c r="E108" s="167"/>
      <c r="F108" s="167"/>
      <c r="G108" s="167"/>
      <c r="H108" s="167"/>
      <c r="I108" s="168">
        <v>445.0</v>
      </c>
      <c r="J108" s="168">
        <v>465.0</v>
      </c>
      <c r="K108" s="168">
        <v>512.0</v>
      </c>
      <c r="L108" s="168">
        <v>433.0</v>
      </c>
      <c r="M108" s="168">
        <v>489.0</v>
      </c>
      <c r="N108" s="168">
        <v>483.0</v>
      </c>
      <c r="O108" s="168">
        <v>499.0</v>
      </c>
      <c r="P108" s="168">
        <v>491.0</v>
      </c>
      <c r="Q108" s="168">
        <v>445.0</v>
      </c>
      <c r="R108" s="168">
        <v>462.0</v>
      </c>
      <c r="S108" s="167"/>
      <c r="T108" s="167"/>
      <c r="U108" s="167"/>
      <c r="V108" s="175"/>
      <c r="W108" s="35">
        <f t="shared" ref="W108:W109" si="15">sum(C108:V108)</f>
        <v>4724</v>
      </c>
      <c r="X108" s="176"/>
    </row>
    <row r="109">
      <c r="A109" s="177" t="s">
        <v>97</v>
      </c>
      <c r="B109" s="166" t="s">
        <v>43</v>
      </c>
      <c r="C109" s="167"/>
      <c r="D109" s="167"/>
      <c r="E109" s="167"/>
      <c r="F109" s="167"/>
      <c r="G109" s="167"/>
      <c r="H109" s="167"/>
      <c r="I109" s="168">
        <v>448.0</v>
      </c>
      <c r="J109" s="168">
        <v>403.0</v>
      </c>
      <c r="K109" s="168">
        <v>416.0</v>
      </c>
      <c r="L109" s="168">
        <v>360.0</v>
      </c>
      <c r="M109" s="168">
        <v>401.0</v>
      </c>
      <c r="N109" s="168">
        <v>412.0</v>
      </c>
      <c r="O109" s="168">
        <v>415.0</v>
      </c>
      <c r="P109" s="168">
        <v>399.0</v>
      </c>
      <c r="Q109" s="168">
        <v>378.0</v>
      </c>
      <c r="R109" s="168">
        <v>361.0</v>
      </c>
      <c r="S109" s="167"/>
      <c r="T109" s="167"/>
      <c r="U109" s="167"/>
      <c r="V109" s="175"/>
      <c r="W109" s="178">
        <f t="shared" si="15"/>
        <v>3993</v>
      </c>
      <c r="X109" s="176"/>
    </row>
    <row r="110">
      <c r="A110" s="179"/>
      <c r="B110" s="180"/>
      <c r="C110" s="180"/>
      <c r="D110" s="180"/>
      <c r="E110" s="180"/>
      <c r="F110" s="180"/>
      <c r="G110" s="180"/>
      <c r="H110" s="180"/>
      <c r="I110" s="181"/>
      <c r="J110" s="181"/>
      <c r="K110" s="181"/>
      <c r="L110" s="181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2"/>
    </row>
    <row r="111">
      <c r="A111" s="179"/>
      <c r="B111" s="180"/>
      <c r="C111" s="180"/>
      <c r="D111" s="183" t="s">
        <v>98</v>
      </c>
      <c r="E111" s="4"/>
      <c r="F111" s="5"/>
      <c r="G111" s="181"/>
      <c r="H111" s="180"/>
      <c r="I111" s="184" t="s">
        <v>99</v>
      </c>
      <c r="J111" s="181" t="s">
        <v>100</v>
      </c>
      <c r="O111" s="180"/>
      <c r="P111" s="180"/>
      <c r="Q111" s="180"/>
      <c r="R111" s="180"/>
      <c r="S111" s="180"/>
      <c r="T111" s="180"/>
      <c r="U111" s="180"/>
      <c r="V111" s="180"/>
      <c r="W111" s="180"/>
      <c r="X111" s="182"/>
    </row>
    <row r="112">
      <c r="A112" s="179"/>
      <c r="B112" s="180"/>
      <c r="C112" s="180"/>
      <c r="D112" s="185"/>
      <c r="E112" s="186" t="s">
        <v>99</v>
      </c>
      <c r="F112" s="186" t="s">
        <v>100</v>
      </c>
      <c r="G112" s="181"/>
      <c r="H112" s="187" t="s">
        <v>101</v>
      </c>
      <c r="I112" s="188">
        <v>100.0</v>
      </c>
      <c r="J112" s="189">
        <f>SUM(J113:J115)</f>
        <v>16200</v>
      </c>
      <c r="M112" s="190" t="s">
        <v>102</v>
      </c>
      <c r="N112" s="4"/>
      <c r="O112" s="5"/>
      <c r="P112" s="180"/>
      <c r="Q112" s="180"/>
      <c r="R112" s="180"/>
      <c r="S112" s="180"/>
      <c r="T112" s="180"/>
      <c r="U112" s="180"/>
      <c r="V112" s="180"/>
      <c r="W112" s="180"/>
      <c r="X112" s="182"/>
    </row>
    <row r="113">
      <c r="A113" s="179"/>
      <c r="B113" s="180"/>
      <c r="C113" s="180"/>
      <c r="D113" s="186" t="s">
        <v>103</v>
      </c>
      <c r="E113" s="186">
        <v>3.0</v>
      </c>
      <c r="F113" s="185">
        <f t="shared" ref="F113:F131" si="16">E113*200</f>
        <v>600</v>
      </c>
      <c r="G113" s="181"/>
      <c r="H113" s="181" t="s">
        <v>104</v>
      </c>
      <c r="I113" s="184">
        <v>34.0</v>
      </c>
      <c r="J113" s="180">
        <f t="shared" ref="J113:J115" si="17">I113*200</f>
        <v>6800</v>
      </c>
      <c r="M113" s="191">
        <v>44810.0</v>
      </c>
      <c r="N113" s="192" t="s">
        <v>105</v>
      </c>
      <c r="O113" s="180"/>
      <c r="P113" s="180"/>
      <c r="Q113" s="180"/>
      <c r="R113" s="180"/>
      <c r="S113" s="180"/>
      <c r="T113" s="180"/>
      <c r="U113" s="180"/>
      <c r="V113" s="180"/>
      <c r="W113" s="180"/>
      <c r="X113" s="182"/>
    </row>
    <row r="114">
      <c r="A114" s="179"/>
      <c r="B114" s="180"/>
      <c r="C114" s="180"/>
      <c r="D114" s="186" t="s">
        <v>106</v>
      </c>
      <c r="E114" s="186">
        <v>5.0</v>
      </c>
      <c r="F114" s="185">
        <f t="shared" si="16"/>
        <v>1000</v>
      </c>
      <c r="G114" s="181"/>
      <c r="H114" s="181" t="s">
        <v>107</v>
      </c>
      <c r="I114" s="184">
        <v>25.0</v>
      </c>
      <c r="J114" s="180">
        <f t="shared" si="17"/>
        <v>5000</v>
      </c>
      <c r="M114" s="191">
        <v>44811.0</v>
      </c>
      <c r="N114" s="192" t="s">
        <v>105</v>
      </c>
      <c r="O114" s="180"/>
      <c r="P114" s="180"/>
      <c r="Q114" s="180"/>
      <c r="R114" s="180"/>
      <c r="S114" s="180"/>
      <c r="T114" s="180"/>
      <c r="U114" s="180"/>
      <c r="V114" s="180"/>
      <c r="W114" s="180"/>
      <c r="X114" s="182"/>
    </row>
    <row r="115">
      <c r="A115" s="179"/>
      <c r="B115" s="180"/>
      <c r="C115" s="180"/>
      <c r="D115" s="186" t="s">
        <v>108</v>
      </c>
      <c r="E115" s="186">
        <v>6.0</v>
      </c>
      <c r="F115" s="185">
        <f t="shared" si="16"/>
        <v>1200</v>
      </c>
      <c r="G115" s="181"/>
      <c r="H115" s="181" t="s">
        <v>109</v>
      </c>
      <c r="I115" s="184">
        <v>22.0</v>
      </c>
      <c r="J115" s="180">
        <f t="shared" si="17"/>
        <v>4400</v>
      </c>
      <c r="M115" s="191">
        <v>44812.0</v>
      </c>
      <c r="N115" s="192" t="s">
        <v>110</v>
      </c>
      <c r="O115" s="180"/>
      <c r="P115" s="180"/>
      <c r="Q115" s="180"/>
      <c r="R115" s="180"/>
      <c r="S115" s="180"/>
      <c r="T115" s="180"/>
      <c r="U115" s="180"/>
      <c r="V115" s="180"/>
      <c r="W115" s="180"/>
      <c r="X115" s="182"/>
    </row>
    <row r="116">
      <c r="A116" s="179"/>
      <c r="B116" s="180"/>
      <c r="C116" s="180"/>
      <c r="D116" s="186" t="s">
        <v>111</v>
      </c>
      <c r="E116" s="186">
        <v>2.0</v>
      </c>
      <c r="F116" s="185">
        <f t="shared" si="16"/>
        <v>400</v>
      </c>
      <c r="G116" s="181"/>
      <c r="H116" s="181"/>
      <c r="I116" s="180"/>
      <c r="J116" s="180"/>
      <c r="M116" s="191">
        <v>44813.0</v>
      </c>
      <c r="N116" s="192" t="s">
        <v>112</v>
      </c>
      <c r="O116" s="180"/>
      <c r="P116" s="180"/>
      <c r="Q116" s="180"/>
      <c r="R116" s="180"/>
      <c r="S116" s="180"/>
      <c r="T116" s="180"/>
      <c r="U116" s="180"/>
      <c r="V116" s="180"/>
      <c r="W116" s="180"/>
      <c r="X116" s="182"/>
    </row>
    <row r="117">
      <c r="A117" s="179"/>
      <c r="B117" s="180"/>
      <c r="C117" s="180"/>
      <c r="D117" s="193">
        <v>45166.0</v>
      </c>
      <c r="E117" s="186">
        <v>52.0</v>
      </c>
      <c r="F117" s="185">
        <f t="shared" si="16"/>
        <v>10400</v>
      </c>
      <c r="G117" s="180"/>
      <c r="H117" s="194" t="s">
        <v>113</v>
      </c>
      <c r="I117" s="194" t="s">
        <v>99</v>
      </c>
      <c r="J117" s="195" t="s">
        <v>100</v>
      </c>
      <c r="M117" s="191">
        <v>44814.0</v>
      </c>
      <c r="N117" s="192" t="s">
        <v>114</v>
      </c>
      <c r="O117" s="180"/>
      <c r="P117" s="180"/>
      <c r="Q117" s="180"/>
      <c r="R117" s="180"/>
      <c r="S117" s="180"/>
      <c r="T117" s="180"/>
      <c r="U117" s="180"/>
      <c r="V117" s="180"/>
      <c r="W117" s="180"/>
      <c r="X117" s="182"/>
    </row>
    <row r="118">
      <c r="A118" s="179"/>
      <c r="B118" s="180"/>
      <c r="C118" s="180"/>
      <c r="D118" s="193">
        <v>45167.0</v>
      </c>
      <c r="E118" s="186">
        <v>39.0</v>
      </c>
      <c r="F118" s="185">
        <f t="shared" si="16"/>
        <v>7800</v>
      </c>
      <c r="G118" s="180"/>
      <c r="H118" s="196" t="s">
        <v>115</v>
      </c>
      <c r="I118" s="189">
        <f>2800/200</f>
        <v>14</v>
      </c>
      <c r="J118" s="197">
        <v>2800.0</v>
      </c>
      <c r="M118" s="191">
        <v>44815.0</v>
      </c>
      <c r="N118" s="192" t="s">
        <v>116</v>
      </c>
      <c r="O118" s="180"/>
      <c r="P118" s="180"/>
      <c r="Q118" s="180"/>
      <c r="R118" s="180"/>
      <c r="S118" s="180"/>
      <c r="T118" s="180"/>
      <c r="U118" s="180"/>
      <c r="V118" s="180"/>
      <c r="W118" s="180"/>
      <c r="X118" s="182"/>
    </row>
    <row r="119">
      <c r="A119" s="179"/>
      <c r="B119" s="180"/>
      <c r="C119" s="180"/>
      <c r="D119" s="193">
        <v>45168.0</v>
      </c>
      <c r="E119" s="186">
        <v>41.0</v>
      </c>
      <c r="F119" s="185">
        <f t="shared" si="16"/>
        <v>8200</v>
      </c>
      <c r="G119" s="180"/>
      <c r="H119" s="198" t="s">
        <v>104</v>
      </c>
      <c r="I119" s="181">
        <v>5.0</v>
      </c>
      <c r="J119" s="199">
        <f t="shared" ref="J119:J122" si="18">I119*200</f>
        <v>1000</v>
      </c>
      <c r="O119" s="180"/>
      <c r="P119" s="180"/>
      <c r="Q119" s="180"/>
      <c r="R119" s="180"/>
      <c r="S119" s="180"/>
      <c r="T119" s="180"/>
      <c r="U119" s="180"/>
      <c r="V119" s="180"/>
      <c r="W119" s="180"/>
      <c r="X119" s="182"/>
    </row>
    <row r="120">
      <c r="A120" s="179"/>
      <c r="B120" s="180"/>
      <c r="C120" s="180"/>
      <c r="D120" s="193">
        <v>45169.0</v>
      </c>
      <c r="E120" s="186">
        <v>46.0</v>
      </c>
      <c r="F120" s="185">
        <f t="shared" si="16"/>
        <v>9200</v>
      </c>
      <c r="G120" s="180"/>
      <c r="H120" s="198" t="s">
        <v>117</v>
      </c>
      <c r="I120" s="181">
        <v>4.0</v>
      </c>
      <c r="J120" s="199">
        <f t="shared" si="18"/>
        <v>800</v>
      </c>
      <c r="O120" s="180"/>
      <c r="P120" s="180"/>
      <c r="Q120" s="180"/>
      <c r="R120" s="180"/>
      <c r="S120" s="180"/>
      <c r="T120" s="180"/>
      <c r="U120" s="180"/>
      <c r="V120" s="180"/>
      <c r="W120" s="180"/>
      <c r="X120" s="182"/>
    </row>
    <row r="121">
      <c r="A121" s="179"/>
      <c r="B121" s="180"/>
      <c r="C121" s="180"/>
      <c r="D121" s="193">
        <v>45170.0</v>
      </c>
      <c r="E121" s="186">
        <v>53.0</v>
      </c>
      <c r="F121" s="185">
        <f t="shared" si="16"/>
        <v>10600</v>
      </c>
      <c r="G121" s="180"/>
      <c r="H121" s="198" t="s">
        <v>118</v>
      </c>
      <c r="I121" s="181">
        <v>1.0</v>
      </c>
      <c r="J121" s="199">
        <f t="shared" si="18"/>
        <v>200</v>
      </c>
      <c r="O121" s="200"/>
      <c r="P121" s="200"/>
      <c r="Q121" s="180"/>
      <c r="R121" s="180"/>
      <c r="S121" s="180"/>
      <c r="T121" s="180"/>
      <c r="U121" s="180"/>
      <c r="V121" s="180"/>
      <c r="W121" s="180"/>
      <c r="X121" s="182"/>
    </row>
    <row r="122">
      <c r="A122" s="179"/>
      <c r="B122" s="180"/>
      <c r="C122" s="180"/>
      <c r="D122" s="193">
        <v>45171.0</v>
      </c>
      <c r="E122" s="201">
        <v>55.0</v>
      </c>
      <c r="F122" s="185">
        <f t="shared" si="16"/>
        <v>11000</v>
      </c>
      <c r="G122" s="180"/>
      <c r="H122" s="202" t="s">
        <v>119</v>
      </c>
      <c r="I122" s="203">
        <v>4.0</v>
      </c>
      <c r="J122" s="199">
        <f t="shared" si="18"/>
        <v>800</v>
      </c>
      <c r="K122" s="204"/>
      <c r="P122" s="200"/>
      <c r="Q122" s="180"/>
      <c r="R122" s="180"/>
      <c r="S122" s="180"/>
      <c r="T122" s="180"/>
      <c r="U122" s="180"/>
      <c r="V122" s="180"/>
      <c r="W122" s="180"/>
      <c r="X122" s="182"/>
    </row>
    <row r="123">
      <c r="A123" s="179"/>
      <c r="B123" s="180"/>
      <c r="C123" s="180"/>
      <c r="D123" s="193">
        <v>45172.0</v>
      </c>
      <c r="E123" s="201">
        <v>50.0</v>
      </c>
      <c r="F123" s="185">
        <f t="shared" si="16"/>
        <v>10000</v>
      </c>
      <c r="G123" s="180"/>
      <c r="H123" s="205"/>
      <c r="I123" s="206"/>
      <c r="J123" s="207"/>
      <c r="M123" s="208" t="s">
        <v>120</v>
      </c>
      <c r="N123" s="4"/>
      <c r="O123" s="5"/>
      <c r="P123" s="200"/>
      <c r="Q123" s="180"/>
      <c r="R123" s="180"/>
      <c r="S123" s="180"/>
      <c r="T123" s="180"/>
      <c r="U123" s="180"/>
      <c r="V123" s="180"/>
      <c r="W123" s="180"/>
      <c r="X123" s="182"/>
    </row>
    <row r="124">
      <c r="A124" s="179"/>
      <c r="B124" s="180"/>
      <c r="C124" s="180"/>
      <c r="D124" s="209" t="s">
        <v>121</v>
      </c>
      <c r="E124" s="210">
        <v>133.0</v>
      </c>
      <c r="F124" s="211">
        <f t="shared" si="16"/>
        <v>26600</v>
      </c>
      <c r="G124" s="212" t="s">
        <v>122</v>
      </c>
      <c r="H124" s="180"/>
      <c r="I124" s="180"/>
      <c r="J124" s="180"/>
      <c r="M124" s="185"/>
      <c r="N124" s="186" t="s">
        <v>100</v>
      </c>
      <c r="O124" s="185"/>
      <c r="P124" s="180"/>
      <c r="Q124" s="180"/>
      <c r="R124" s="180"/>
      <c r="S124" s="180"/>
      <c r="T124" s="180"/>
      <c r="U124" s="180"/>
      <c r="V124" s="180"/>
      <c r="W124" s="182"/>
    </row>
    <row r="125">
      <c r="A125" s="179"/>
      <c r="B125" s="180"/>
      <c r="C125" s="180"/>
      <c r="D125" s="193">
        <v>45174.0</v>
      </c>
      <c r="E125" s="186">
        <v>33.0</v>
      </c>
      <c r="F125" s="185">
        <f t="shared" si="16"/>
        <v>6600</v>
      </c>
      <c r="G125" s="213" t="s">
        <v>123</v>
      </c>
      <c r="H125" s="180"/>
      <c r="I125" s="180"/>
      <c r="J125" s="180"/>
      <c r="L125" s="214"/>
      <c r="M125" s="186" t="s">
        <v>103</v>
      </c>
      <c r="N125" s="186">
        <v>1400.0</v>
      </c>
      <c r="O125" s="215" t="s">
        <v>124</v>
      </c>
      <c r="P125" s="212"/>
      <c r="Q125" s="180"/>
      <c r="R125" s="180"/>
      <c r="S125" s="180"/>
      <c r="T125" s="180"/>
      <c r="U125" s="180"/>
      <c r="V125" s="180"/>
      <c r="W125" s="182"/>
    </row>
    <row r="126">
      <c r="A126" s="179"/>
      <c r="B126" s="180"/>
      <c r="C126" s="180"/>
      <c r="D126" s="193">
        <v>45175.0</v>
      </c>
      <c r="E126" s="186">
        <v>25.0</v>
      </c>
      <c r="F126" s="185">
        <f t="shared" si="16"/>
        <v>5000</v>
      </c>
      <c r="G126" s="180"/>
      <c r="H126" s="180"/>
      <c r="I126" s="180"/>
      <c r="J126" s="180"/>
      <c r="L126" s="214"/>
      <c r="M126" s="186" t="s">
        <v>106</v>
      </c>
      <c r="N126" s="186">
        <v>1200.0</v>
      </c>
      <c r="O126" s="215" t="s">
        <v>125</v>
      </c>
      <c r="P126" s="212"/>
      <c r="Q126" s="180"/>
      <c r="R126" s="180"/>
      <c r="S126" s="180"/>
      <c r="T126" s="180"/>
      <c r="U126" s="180"/>
      <c r="V126" s="180"/>
      <c r="W126" s="182"/>
    </row>
    <row r="127">
      <c r="A127" s="179"/>
      <c r="B127" s="180"/>
      <c r="C127" s="180"/>
      <c r="D127" s="193">
        <v>45176.0</v>
      </c>
      <c r="E127" s="186">
        <v>14.0</v>
      </c>
      <c r="F127" s="185">
        <f t="shared" si="16"/>
        <v>2800</v>
      </c>
      <c r="G127" s="213" t="s">
        <v>110</v>
      </c>
      <c r="H127" s="182"/>
      <c r="I127" s="180"/>
      <c r="J127" s="180"/>
      <c r="M127" s="186" t="s">
        <v>108</v>
      </c>
      <c r="N127" s="186">
        <v>1400.0</v>
      </c>
      <c r="O127" s="215" t="s">
        <v>126</v>
      </c>
      <c r="P127" s="212"/>
      <c r="Q127" s="180"/>
      <c r="R127" s="180"/>
      <c r="S127" s="180"/>
      <c r="T127" s="180"/>
      <c r="U127" s="180"/>
      <c r="V127" s="180"/>
      <c r="W127" s="182"/>
    </row>
    <row r="128">
      <c r="A128" s="179"/>
      <c r="B128" s="180"/>
      <c r="C128" s="180"/>
      <c r="D128" s="193">
        <v>45177.0</v>
      </c>
      <c r="E128" s="186">
        <v>21.0</v>
      </c>
      <c r="F128" s="185">
        <f t="shared" si="16"/>
        <v>4200</v>
      </c>
      <c r="G128" s="216"/>
      <c r="H128" s="180"/>
      <c r="I128" s="180"/>
      <c r="J128" s="180"/>
      <c r="M128" s="186" t="s">
        <v>111</v>
      </c>
      <c r="N128" s="186">
        <v>600.0</v>
      </c>
      <c r="O128" s="215" t="s">
        <v>126</v>
      </c>
      <c r="P128" s="212"/>
      <c r="Q128" s="180"/>
      <c r="R128" s="180"/>
      <c r="S128" s="180"/>
      <c r="T128" s="180"/>
      <c r="U128" s="180"/>
      <c r="V128" s="180"/>
      <c r="W128" s="182"/>
    </row>
    <row r="129">
      <c r="A129" s="179"/>
      <c r="B129" s="180"/>
      <c r="C129" s="180"/>
      <c r="D129" s="193">
        <v>45178.0</v>
      </c>
      <c r="E129" s="186">
        <v>18.0</v>
      </c>
      <c r="F129" s="185">
        <f t="shared" si="16"/>
        <v>3600</v>
      </c>
      <c r="G129" s="213" t="s">
        <v>127</v>
      </c>
      <c r="H129" s="180"/>
      <c r="J129" s="180"/>
      <c r="M129" s="186" t="s">
        <v>128</v>
      </c>
      <c r="N129" s="217">
        <f>W31+W36+W41+W46+W51+W96</f>
        <v>84974</v>
      </c>
      <c r="O129" s="215"/>
      <c r="P129" s="212"/>
      <c r="Q129" s="180"/>
      <c r="R129" s="180"/>
      <c r="S129" s="180"/>
      <c r="T129" s="180"/>
      <c r="U129" s="180"/>
      <c r="V129" s="180"/>
      <c r="W129" s="182"/>
    </row>
    <row r="130">
      <c r="A130" s="179"/>
      <c r="B130" s="180"/>
      <c r="C130" s="180"/>
      <c r="D130" s="193">
        <v>45179.0</v>
      </c>
      <c r="E130" s="186">
        <v>20.0</v>
      </c>
      <c r="F130" s="185">
        <f t="shared" si="16"/>
        <v>4000</v>
      </c>
      <c r="G130" s="213" t="s">
        <v>129</v>
      </c>
      <c r="H130" s="180"/>
      <c r="M130" s="218" t="s">
        <v>130</v>
      </c>
      <c r="N130" s="186">
        <f>4671+2903</f>
        <v>7574</v>
      </c>
      <c r="O130" s="185"/>
      <c r="P130" s="180"/>
      <c r="Q130" s="180"/>
      <c r="R130" s="180"/>
      <c r="S130" s="180"/>
      <c r="T130" s="180"/>
      <c r="U130" s="180"/>
      <c r="V130" s="180"/>
      <c r="W130" s="182"/>
    </row>
    <row r="131">
      <c r="A131" s="179"/>
      <c r="B131" s="180"/>
      <c r="C131" s="180"/>
      <c r="D131" s="195" t="s">
        <v>131</v>
      </c>
      <c r="E131" s="195">
        <v>78.0</v>
      </c>
      <c r="F131" s="219">
        <f t="shared" si="16"/>
        <v>15600</v>
      </c>
      <c r="G131" s="180"/>
      <c r="H131" s="180"/>
      <c r="I131" s="180"/>
      <c r="J131" s="180"/>
      <c r="M131" s="218" t="s">
        <v>132</v>
      </c>
      <c r="N131" s="186">
        <f>W95+W50+W45+W40+W35+W30</f>
        <v>14275</v>
      </c>
      <c r="O131" s="185"/>
      <c r="P131" s="180"/>
      <c r="Q131" s="180"/>
      <c r="R131" s="180"/>
      <c r="S131" s="180"/>
      <c r="T131" s="180"/>
      <c r="U131" s="180"/>
      <c r="V131" s="180"/>
      <c r="W131" s="182"/>
    </row>
    <row r="132">
      <c r="A132" s="179"/>
      <c r="B132" s="180"/>
      <c r="C132" s="180"/>
      <c r="D132" s="220" t="s">
        <v>133</v>
      </c>
      <c r="E132" s="221">
        <f t="shared" ref="E132:F132" si="19">SUM(E113:E131)</f>
        <v>694</v>
      </c>
      <c r="F132" s="222">
        <f t="shared" si="19"/>
        <v>138800</v>
      </c>
      <c r="G132" s="180"/>
      <c r="H132" s="180"/>
      <c r="I132" s="180"/>
      <c r="J132" s="180"/>
      <c r="M132" s="218" t="s">
        <v>101</v>
      </c>
      <c r="N132" s="186">
        <v>20000.0</v>
      </c>
      <c r="O132" s="185"/>
      <c r="P132" s="180"/>
      <c r="Q132" s="180"/>
      <c r="R132" s="180"/>
      <c r="S132" s="180"/>
      <c r="T132" s="180"/>
      <c r="U132" s="180"/>
      <c r="V132" s="180"/>
      <c r="W132" s="182"/>
    </row>
    <row r="133">
      <c r="A133" s="179"/>
      <c r="B133" s="180"/>
      <c r="C133" s="180"/>
      <c r="D133" s="180"/>
      <c r="E133" s="180"/>
      <c r="F133" s="181">
        <v>140000.0</v>
      </c>
      <c r="G133" s="212" t="s">
        <v>134</v>
      </c>
      <c r="H133" s="180"/>
      <c r="I133" s="180"/>
      <c r="J133" s="180"/>
      <c r="M133" s="223" t="s">
        <v>135</v>
      </c>
      <c r="N133" s="179">
        <f>sum(N125:N132)</f>
        <v>131423</v>
      </c>
      <c r="O133" s="180"/>
      <c r="P133" s="180"/>
      <c r="Q133" s="180"/>
      <c r="R133" s="180"/>
      <c r="S133" s="180"/>
      <c r="T133" s="180"/>
      <c r="U133" s="180"/>
      <c r="V133" s="180"/>
      <c r="W133" s="182"/>
    </row>
    <row r="134">
      <c r="A134" s="179"/>
      <c r="B134" s="180"/>
      <c r="C134" s="180"/>
      <c r="D134" s="180"/>
      <c r="E134" s="224">
        <f>F134/200</f>
        <v>6</v>
      </c>
      <c r="F134" s="225">
        <f>F133-F132</f>
        <v>1200</v>
      </c>
      <c r="G134" s="212"/>
      <c r="H134" s="180"/>
      <c r="I134" s="180"/>
      <c r="J134" s="180"/>
      <c r="O134" s="181"/>
      <c r="P134" s="180"/>
      <c r="Q134" s="180"/>
      <c r="R134" s="180"/>
      <c r="S134" s="180"/>
      <c r="T134" s="180"/>
      <c r="U134" s="180"/>
      <c r="V134" s="180"/>
      <c r="W134" s="180"/>
      <c r="X134" s="182"/>
    </row>
    <row r="135">
      <c r="A135" s="179"/>
      <c r="B135" s="180"/>
      <c r="C135" s="180"/>
      <c r="D135" s="180"/>
      <c r="E135" s="180"/>
      <c r="F135" s="180"/>
      <c r="G135" s="180"/>
      <c r="H135" s="180"/>
      <c r="I135" s="181"/>
      <c r="J135" s="181"/>
      <c r="K135" s="180"/>
      <c r="L135" s="181"/>
      <c r="M135" s="226" t="s">
        <v>136</v>
      </c>
      <c r="N135" s="181">
        <v>140000.0</v>
      </c>
      <c r="O135" s="181"/>
      <c r="P135" s="180"/>
      <c r="Q135" s="180"/>
      <c r="R135" s="180"/>
      <c r="S135" s="180"/>
      <c r="T135" s="180"/>
      <c r="U135" s="180"/>
      <c r="V135" s="180"/>
      <c r="W135" s="180"/>
      <c r="X135" s="182"/>
    </row>
    <row r="136">
      <c r="A136" s="179"/>
      <c r="B136" s="180"/>
      <c r="C136" s="180"/>
      <c r="D136" s="180"/>
      <c r="E136" s="180"/>
      <c r="F136" s="180"/>
      <c r="G136" s="180"/>
      <c r="H136" s="180"/>
      <c r="I136" s="181"/>
      <c r="J136" s="181"/>
      <c r="K136" s="180"/>
      <c r="L136" s="181"/>
      <c r="M136" s="226" t="s">
        <v>137</v>
      </c>
      <c r="N136" s="181">
        <f>N135-N133</f>
        <v>8577</v>
      </c>
      <c r="O136" s="181">
        <f>N136/200</f>
        <v>42.885</v>
      </c>
      <c r="P136" s="180"/>
      <c r="Q136" s="180"/>
      <c r="R136" s="180"/>
      <c r="S136" s="180"/>
      <c r="T136" s="180"/>
      <c r="U136" s="180"/>
      <c r="V136" s="180"/>
      <c r="W136" s="180"/>
      <c r="X136" s="182"/>
    </row>
    <row r="137">
      <c r="A137" s="179"/>
      <c r="B137" s="180"/>
      <c r="C137" s="180"/>
      <c r="D137" s="180"/>
      <c r="E137" s="180"/>
      <c r="F137" s="180"/>
      <c r="G137" s="180"/>
      <c r="H137" s="180"/>
      <c r="I137" s="181"/>
      <c r="J137" s="181"/>
      <c r="K137" s="180"/>
      <c r="L137" s="181"/>
      <c r="M137" s="226" t="s">
        <v>138</v>
      </c>
      <c r="N137" s="181"/>
      <c r="O137" s="181"/>
      <c r="P137" s="180"/>
      <c r="Q137" s="180"/>
      <c r="R137" s="180"/>
      <c r="S137" s="180"/>
      <c r="T137" s="180"/>
      <c r="U137" s="180"/>
      <c r="V137" s="180"/>
      <c r="W137" s="180"/>
      <c r="X137" s="182"/>
    </row>
    <row r="138">
      <c r="A138" s="179"/>
      <c r="B138" s="180"/>
      <c r="C138" s="180"/>
      <c r="D138" s="180"/>
      <c r="E138" s="180"/>
      <c r="F138" s="180"/>
      <c r="G138" s="180"/>
      <c r="H138" s="180"/>
      <c r="I138" s="181"/>
      <c r="J138" s="181"/>
      <c r="K138" s="180"/>
      <c r="L138" s="181"/>
      <c r="M138" s="181"/>
      <c r="N138" s="181"/>
      <c r="O138" s="181"/>
      <c r="P138" s="180"/>
      <c r="Q138" s="180"/>
      <c r="R138" s="180"/>
      <c r="S138" s="180"/>
      <c r="T138" s="180"/>
      <c r="U138" s="180"/>
      <c r="V138" s="180"/>
      <c r="W138" s="180"/>
      <c r="X138" s="182"/>
    </row>
    <row r="139">
      <c r="A139" s="179"/>
      <c r="B139" s="180"/>
      <c r="C139" s="180"/>
      <c r="D139" s="180"/>
      <c r="E139" s="180"/>
      <c r="F139" s="180"/>
      <c r="G139" s="180"/>
      <c r="H139" s="180"/>
      <c r="I139" s="181"/>
      <c r="J139" s="181"/>
      <c r="K139" s="180"/>
      <c r="L139" s="181"/>
      <c r="M139" s="181"/>
      <c r="N139" s="181"/>
      <c r="O139" s="181"/>
      <c r="P139" s="180"/>
      <c r="Q139" s="180"/>
      <c r="R139" s="180"/>
      <c r="S139" s="180"/>
      <c r="T139" s="180"/>
      <c r="U139" s="180"/>
      <c r="V139" s="180"/>
      <c r="W139" s="180"/>
      <c r="X139" s="182"/>
    </row>
    <row r="140">
      <c r="A140" s="179"/>
      <c r="B140" s="180"/>
      <c r="C140" s="180"/>
      <c r="D140" s="180"/>
      <c r="E140" s="180"/>
      <c r="F140" s="180"/>
      <c r="G140" s="180"/>
      <c r="H140" s="180"/>
      <c r="I140" s="181"/>
      <c r="J140" s="181"/>
      <c r="K140" s="180"/>
      <c r="L140" s="181"/>
      <c r="M140" s="181"/>
      <c r="N140" s="181"/>
      <c r="O140" s="181"/>
      <c r="P140" s="180"/>
      <c r="Q140" s="180"/>
      <c r="R140" s="180"/>
      <c r="S140" s="180"/>
      <c r="T140" s="180"/>
      <c r="U140" s="180"/>
      <c r="V140" s="180"/>
      <c r="W140" s="180"/>
      <c r="X140" s="182"/>
    </row>
    <row r="141">
      <c r="A141" s="179"/>
      <c r="B141" s="180"/>
      <c r="C141" s="180"/>
      <c r="D141" s="180"/>
      <c r="E141" s="180"/>
      <c r="F141" s="180"/>
      <c r="G141" s="180"/>
      <c r="H141" s="180"/>
      <c r="I141" s="181"/>
      <c r="J141" s="181"/>
      <c r="K141" s="180"/>
      <c r="L141" s="181"/>
      <c r="M141" s="181"/>
      <c r="N141" s="181"/>
      <c r="O141" s="181"/>
      <c r="P141" s="180"/>
      <c r="Q141" s="180"/>
      <c r="R141" s="180"/>
      <c r="S141" s="180"/>
      <c r="T141" s="180"/>
      <c r="U141" s="180"/>
      <c r="V141" s="180"/>
      <c r="W141" s="180"/>
      <c r="X141" s="182"/>
    </row>
    <row r="142">
      <c r="A142" s="179"/>
      <c r="B142" s="180"/>
      <c r="C142" s="180"/>
      <c r="D142" s="180"/>
      <c r="E142" s="180"/>
      <c r="F142" s="180"/>
      <c r="G142" s="180"/>
      <c r="H142" s="180"/>
      <c r="I142" s="181"/>
      <c r="J142" s="181"/>
      <c r="K142" s="180"/>
      <c r="L142" s="181"/>
      <c r="M142" s="181"/>
      <c r="N142" s="181"/>
      <c r="O142" s="181"/>
      <c r="P142" s="180"/>
      <c r="Q142" s="180"/>
      <c r="R142" s="180"/>
      <c r="S142" s="180"/>
      <c r="T142" s="180"/>
      <c r="U142" s="180"/>
      <c r="V142" s="180"/>
      <c r="W142" s="180"/>
      <c r="X142" s="182"/>
    </row>
    <row r="143">
      <c r="A143" s="179"/>
      <c r="B143" s="180"/>
      <c r="C143" s="180"/>
      <c r="D143" s="180"/>
      <c r="E143" s="180"/>
      <c r="F143" s="180"/>
      <c r="G143" s="180"/>
      <c r="H143" s="180"/>
      <c r="I143" s="181"/>
      <c r="J143" s="181"/>
      <c r="K143" s="180"/>
      <c r="L143" s="181"/>
      <c r="M143" s="181"/>
      <c r="N143" s="181"/>
      <c r="O143" s="181"/>
      <c r="P143" s="180"/>
      <c r="Q143" s="180"/>
      <c r="R143" s="180"/>
      <c r="S143" s="180"/>
      <c r="T143" s="180"/>
      <c r="U143" s="180"/>
      <c r="V143" s="180"/>
      <c r="W143" s="180"/>
      <c r="X143" s="182"/>
    </row>
    <row r="144">
      <c r="A144" s="179"/>
      <c r="B144" s="180"/>
      <c r="C144" s="180"/>
      <c r="D144" s="180"/>
      <c r="E144" s="180"/>
      <c r="F144" s="180"/>
      <c r="G144" s="180"/>
      <c r="H144" s="180"/>
      <c r="I144" s="181"/>
      <c r="J144" s="181"/>
      <c r="K144" s="180"/>
      <c r="L144" s="181"/>
      <c r="M144" s="181"/>
      <c r="N144" s="181"/>
      <c r="O144" s="181"/>
      <c r="P144" s="180"/>
      <c r="Q144" s="180"/>
      <c r="R144" s="180"/>
      <c r="S144" s="180"/>
      <c r="T144" s="180"/>
      <c r="U144" s="180"/>
      <c r="V144" s="180"/>
      <c r="W144" s="180"/>
      <c r="X144" s="182"/>
    </row>
    <row r="145">
      <c r="A145" s="179"/>
      <c r="B145" s="180"/>
      <c r="C145" s="180"/>
      <c r="D145" s="180"/>
      <c r="E145" s="180"/>
      <c r="F145" s="180"/>
      <c r="G145" s="180"/>
      <c r="H145" s="180"/>
      <c r="I145" s="181"/>
      <c r="J145" s="181"/>
      <c r="K145" s="180"/>
      <c r="L145" s="181"/>
      <c r="M145" s="181"/>
      <c r="N145" s="181"/>
      <c r="O145" s="181"/>
      <c r="P145" s="180"/>
      <c r="Q145" s="180"/>
      <c r="R145" s="180"/>
      <c r="S145" s="180"/>
      <c r="T145" s="180"/>
      <c r="U145" s="180"/>
      <c r="V145" s="180"/>
      <c r="W145" s="180"/>
      <c r="X145" s="182"/>
    </row>
  </sheetData>
  <mergeCells count="39">
    <mergeCell ref="A1:A3"/>
    <mergeCell ref="B1:B3"/>
    <mergeCell ref="C1:F1"/>
    <mergeCell ref="I1:O1"/>
    <mergeCell ref="P1:V1"/>
    <mergeCell ref="W1:W3"/>
    <mergeCell ref="X1:X3"/>
    <mergeCell ref="G4:V4"/>
    <mergeCell ref="G5:V5"/>
    <mergeCell ref="C15:V15"/>
    <mergeCell ref="C16:V16"/>
    <mergeCell ref="C19:V19"/>
    <mergeCell ref="C22:V22"/>
    <mergeCell ref="C27:V27"/>
    <mergeCell ref="C28:V28"/>
    <mergeCell ref="C33:V33"/>
    <mergeCell ref="C38:V38"/>
    <mergeCell ref="C43:V43"/>
    <mergeCell ref="C48:V48"/>
    <mergeCell ref="C53:V53"/>
    <mergeCell ref="C57:V57"/>
    <mergeCell ref="C63:V63"/>
    <mergeCell ref="C65:V65"/>
    <mergeCell ref="C67:V67"/>
    <mergeCell ref="C69:V69"/>
    <mergeCell ref="C71:V71"/>
    <mergeCell ref="C76:V76"/>
    <mergeCell ref="A79:B79"/>
    <mergeCell ref="C105:V105"/>
    <mergeCell ref="D111:F111"/>
    <mergeCell ref="M112:O112"/>
    <mergeCell ref="M123:O123"/>
    <mergeCell ref="C81:V81"/>
    <mergeCell ref="C84:V84"/>
    <mergeCell ref="C89:V89"/>
    <mergeCell ref="C93:V93"/>
    <mergeCell ref="C98:V98"/>
    <mergeCell ref="C100:V100"/>
    <mergeCell ref="C104:V104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2">
      <c r="A2" s="227" t="s">
        <v>139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B1" s="200"/>
      <c r="C1" s="200"/>
      <c r="D1" s="200"/>
      <c r="E1" s="200"/>
      <c r="F1" s="200"/>
    </row>
    <row r="2">
      <c r="A2" s="228" t="s">
        <v>140</v>
      </c>
      <c r="B2" s="229">
        <v>13.0</v>
      </c>
      <c r="C2" s="229">
        <v>14.0</v>
      </c>
      <c r="D2" s="229" t="s">
        <v>141</v>
      </c>
      <c r="E2" s="229" t="s">
        <v>142</v>
      </c>
      <c r="F2" s="230" t="s">
        <v>135</v>
      </c>
    </row>
    <row r="3">
      <c r="A3" s="17"/>
      <c r="B3" s="229" t="s">
        <v>13</v>
      </c>
      <c r="C3" s="229" t="s">
        <v>14</v>
      </c>
      <c r="D3" s="229" t="s">
        <v>15</v>
      </c>
      <c r="E3" s="229" t="s">
        <v>15</v>
      </c>
      <c r="F3" s="17"/>
    </row>
    <row r="4">
      <c r="A4" s="231" t="s">
        <v>95</v>
      </c>
      <c r="B4" s="232"/>
      <c r="C4" s="232"/>
      <c r="D4" s="232"/>
      <c r="E4" s="232"/>
      <c r="F4" s="232">
        <f t="shared" ref="F4:F7" si="1">SUM(B4:E4)</f>
        <v>0</v>
      </c>
    </row>
    <row r="5">
      <c r="A5" s="231" t="s">
        <v>143</v>
      </c>
      <c r="B5" s="218">
        <v>100.0</v>
      </c>
      <c r="C5" s="218">
        <v>100.0</v>
      </c>
      <c r="D5" s="218">
        <v>100.0</v>
      </c>
      <c r="E5" s="218">
        <v>100.0</v>
      </c>
      <c r="F5" s="232">
        <f t="shared" si="1"/>
        <v>400</v>
      </c>
    </row>
    <row r="6">
      <c r="A6" s="233" t="s">
        <v>144</v>
      </c>
      <c r="B6" s="232"/>
      <c r="C6" s="232"/>
      <c r="D6" s="232"/>
      <c r="E6" s="232"/>
      <c r="F6" s="232">
        <f t="shared" si="1"/>
        <v>0</v>
      </c>
    </row>
    <row r="7">
      <c r="A7" s="231" t="s">
        <v>145</v>
      </c>
      <c r="B7" s="232"/>
      <c r="C7" s="232"/>
      <c r="D7" s="232"/>
      <c r="E7" s="232"/>
      <c r="F7" s="232">
        <f t="shared" si="1"/>
        <v>0</v>
      </c>
    </row>
    <row r="8">
      <c r="B8" s="200"/>
      <c r="C8" s="200"/>
      <c r="D8" s="200"/>
      <c r="E8" s="200"/>
      <c r="F8" s="200"/>
    </row>
    <row r="9">
      <c r="B9" s="200"/>
      <c r="C9" s="200"/>
      <c r="D9" s="200"/>
      <c r="E9" s="200"/>
      <c r="F9" s="200"/>
    </row>
    <row r="10">
      <c r="B10" s="200"/>
      <c r="C10" s="200"/>
      <c r="D10" s="200"/>
      <c r="E10" s="200"/>
      <c r="F10" s="200"/>
    </row>
    <row r="11">
      <c r="B11" s="200"/>
      <c r="C11" s="200"/>
      <c r="D11" s="200"/>
      <c r="E11" s="200"/>
      <c r="F11" s="200"/>
    </row>
    <row r="12">
      <c r="B12" s="200"/>
      <c r="C12" s="200"/>
      <c r="D12" s="200"/>
      <c r="E12" s="200"/>
      <c r="F12" s="200"/>
    </row>
    <row r="13">
      <c r="B13" s="200"/>
      <c r="C13" s="200"/>
      <c r="D13" s="200"/>
      <c r="E13" s="200"/>
      <c r="F13" s="200"/>
    </row>
    <row r="14">
      <c r="B14" s="200"/>
      <c r="C14" s="200"/>
      <c r="D14" s="200"/>
      <c r="E14" s="200"/>
      <c r="F14" s="200"/>
    </row>
    <row r="15">
      <c r="B15" s="200"/>
      <c r="C15" s="200"/>
      <c r="D15" s="200"/>
      <c r="E15" s="200"/>
      <c r="F15" s="200"/>
    </row>
    <row r="16">
      <c r="B16" s="200"/>
      <c r="C16" s="200"/>
      <c r="D16" s="200"/>
      <c r="E16" s="200"/>
      <c r="F16" s="200"/>
    </row>
    <row r="17">
      <c r="B17" s="200"/>
      <c r="C17" s="200"/>
      <c r="D17" s="200"/>
      <c r="E17" s="200"/>
      <c r="F17" s="200"/>
    </row>
    <row r="18">
      <c r="B18" s="200"/>
      <c r="C18" s="200"/>
      <c r="D18" s="200"/>
      <c r="E18" s="200"/>
      <c r="F18" s="200"/>
    </row>
    <row r="19">
      <c r="B19" s="200"/>
      <c r="C19" s="200"/>
      <c r="D19" s="200"/>
      <c r="E19" s="200"/>
      <c r="F19" s="200"/>
    </row>
    <row r="20">
      <c r="B20" s="200"/>
      <c r="C20" s="200"/>
      <c r="D20" s="200"/>
      <c r="E20" s="200"/>
      <c r="F20" s="200"/>
    </row>
    <row r="21">
      <c r="B21" s="200"/>
      <c r="C21" s="200"/>
      <c r="D21" s="200"/>
      <c r="E21" s="200"/>
      <c r="F21" s="200"/>
    </row>
    <row r="22">
      <c r="B22" s="200"/>
      <c r="C22" s="200"/>
      <c r="D22" s="200"/>
      <c r="E22" s="200"/>
      <c r="F22" s="200"/>
    </row>
    <row r="23">
      <c r="B23" s="200"/>
      <c r="C23" s="200"/>
      <c r="D23" s="200"/>
      <c r="E23" s="200"/>
      <c r="F23" s="200"/>
    </row>
    <row r="24">
      <c r="B24" s="200"/>
      <c r="C24" s="200"/>
      <c r="D24" s="200"/>
      <c r="E24" s="200"/>
      <c r="F24" s="200"/>
    </row>
    <row r="25">
      <c r="B25" s="200"/>
      <c r="C25" s="200"/>
      <c r="D25" s="200"/>
      <c r="E25" s="200"/>
      <c r="F25" s="200"/>
    </row>
    <row r="26">
      <c r="B26" s="200"/>
      <c r="C26" s="200"/>
      <c r="D26" s="200"/>
      <c r="E26" s="200"/>
      <c r="F26" s="200"/>
    </row>
    <row r="27">
      <c r="B27" s="200"/>
      <c r="C27" s="200"/>
      <c r="D27" s="200"/>
      <c r="E27" s="200"/>
      <c r="F27" s="200"/>
    </row>
    <row r="28">
      <c r="B28" s="200"/>
      <c r="C28" s="200"/>
      <c r="D28" s="200"/>
      <c r="E28" s="200"/>
      <c r="F28" s="200"/>
    </row>
    <row r="29">
      <c r="B29" s="200"/>
      <c r="C29" s="200"/>
      <c r="D29" s="200"/>
      <c r="E29" s="200"/>
      <c r="F29" s="200"/>
    </row>
    <row r="30">
      <c r="B30" s="200"/>
      <c r="C30" s="200"/>
      <c r="D30" s="200"/>
      <c r="E30" s="200"/>
      <c r="F30" s="200"/>
    </row>
    <row r="31">
      <c r="B31" s="200"/>
      <c r="C31" s="200"/>
      <c r="D31" s="200"/>
      <c r="E31" s="200"/>
      <c r="F31" s="200"/>
    </row>
    <row r="32">
      <c r="B32" s="200"/>
      <c r="C32" s="200"/>
      <c r="D32" s="200"/>
      <c r="E32" s="200"/>
      <c r="F32" s="200"/>
    </row>
    <row r="33">
      <c r="B33" s="200"/>
      <c r="C33" s="200"/>
      <c r="D33" s="200"/>
      <c r="E33" s="200"/>
      <c r="F33" s="200"/>
    </row>
    <row r="34">
      <c r="B34" s="200"/>
      <c r="C34" s="200"/>
      <c r="D34" s="200"/>
      <c r="E34" s="200"/>
      <c r="F34" s="200"/>
    </row>
    <row r="35">
      <c r="B35" s="200"/>
      <c r="C35" s="200"/>
      <c r="D35" s="200"/>
      <c r="E35" s="200"/>
      <c r="F35" s="200"/>
    </row>
    <row r="36">
      <c r="B36" s="200"/>
      <c r="C36" s="200"/>
      <c r="D36" s="200"/>
      <c r="E36" s="200"/>
      <c r="F36" s="200"/>
    </row>
    <row r="37">
      <c r="B37" s="200"/>
      <c r="C37" s="200"/>
      <c r="D37" s="200"/>
      <c r="E37" s="200"/>
      <c r="F37" s="200"/>
    </row>
    <row r="38">
      <c r="B38" s="200"/>
      <c r="C38" s="200"/>
      <c r="D38" s="200"/>
      <c r="E38" s="200"/>
      <c r="F38" s="200"/>
    </row>
    <row r="39">
      <c r="B39" s="200"/>
      <c r="C39" s="200"/>
      <c r="D39" s="200"/>
      <c r="E39" s="200"/>
      <c r="F39" s="200"/>
    </row>
    <row r="40">
      <c r="B40" s="200"/>
      <c r="C40" s="200"/>
      <c r="D40" s="200"/>
      <c r="E40" s="200"/>
      <c r="F40" s="200"/>
    </row>
    <row r="41">
      <c r="B41" s="200"/>
      <c r="C41" s="200"/>
      <c r="D41" s="200"/>
      <c r="E41" s="200"/>
      <c r="F41" s="200"/>
    </row>
    <row r="42">
      <c r="B42" s="200"/>
      <c r="C42" s="200"/>
      <c r="D42" s="200"/>
      <c r="E42" s="200"/>
      <c r="F42" s="200"/>
    </row>
    <row r="43">
      <c r="B43" s="200"/>
      <c r="C43" s="200"/>
      <c r="D43" s="200"/>
      <c r="E43" s="200"/>
      <c r="F43" s="200"/>
    </row>
    <row r="44">
      <c r="B44" s="200"/>
      <c r="C44" s="200"/>
      <c r="D44" s="200"/>
      <c r="E44" s="200"/>
      <c r="F44" s="200"/>
    </row>
    <row r="45">
      <c r="B45" s="200"/>
      <c r="C45" s="200"/>
      <c r="D45" s="200"/>
      <c r="E45" s="200"/>
      <c r="F45" s="200"/>
    </row>
    <row r="46">
      <c r="B46" s="200"/>
      <c r="C46" s="200"/>
      <c r="D46" s="200"/>
      <c r="E46" s="200"/>
      <c r="F46" s="200"/>
    </row>
    <row r="47">
      <c r="B47" s="200"/>
      <c r="C47" s="200"/>
      <c r="D47" s="200"/>
      <c r="E47" s="200"/>
      <c r="F47" s="200"/>
    </row>
    <row r="48">
      <c r="B48" s="200"/>
      <c r="C48" s="200"/>
      <c r="D48" s="200"/>
      <c r="E48" s="200"/>
      <c r="F48" s="200"/>
    </row>
    <row r="49">
      <c r="B49" s="200"/>
      <c r="C49" s="200"/>
      <c r="D49" s="200"/>
      <c r="E49" s="200"/>
      <c r="F49" s="200"/>
    </row>
    <row r="50">
      <c r="B50" s="200"/>
      <c r="C50" s="200"/>
      <c r="D50" s="200"/>
      <c r="E50" s="200"/>
      <c r="F50" s="200"/>
    </row>
    <row r="51">
      <c r="B51" s="200"/>
      <c r="C51" s="200"/>
      <c r="D51" s="200"/>
      <c r="E51" s="200"/>
      <c r="F51" s="200"/>
    </row>
    <row r="52">
      <c r="B52" s="200"/>
      <c r="C52" s="200"/>
      <c r="D52" s="200"/>
      <c r="E52" s="200"/>
      <c r="F52" s="200"/>
    </row>
    <row r="53">
      <c r="B53" s="200"/>
      <c r="C53" s="200"/>
      <c r="D53" s="200"/>
      <c r="E53" s="200"/>
      <c r="F53" s="200"/>
    </row>
    <row r="54">
      <c r="B54" s="200"/>
      <c r="C54" s="200"/>
      <c r="D54" s="200"/>
      <c r="E54" s="200"/>
      <c r="F54" s="200"/>
    </row>
    <row r="55">
      <c r="B55" s="200"/>
      <c r="C55" s="200"/>
      <c r="D55" s="200"/>
      <c r="E55" s="200"/>
      <c r="F55" s="200"/>
    </row>
    <row r="56">
      <c r="B56" s="200"/>
      <c r="C56" s="200"/>
      <c r="D56" s="200"/>
      <c r="E56" s="200"/>
      <c r="F56" s="200"/>
    </row>
    <row r="57">
      <c r="B57" s="200"/>
      <c r="C57" s="200"/>
      <c r="D57" s="200"/>
      <c r="E57" s="200"/>
      <c r="F57" s="200"/>
    </row>
    <row r="58">
      <c r="B58" s="200"/>
      <c r="C58" s="200"/>
      <c r="D58" s="200"/>
      <c r="E58" s="200"/>
      <c r="F58" s="200"/>
    </row>
    <row r="59">
      <c r="B59" s="200"/>
      <c r="C59" s="200"/>
      <c r="D59" s="200"/>
      <c r="E59" s="200"/>
      <c r="F59" s="200"/>
    </row>
    <row r="60">
      <c r="B60" s="200"/>
      <c r="C60" s="200"/>
      <c r="D60" s="200"/>
      <c r="E60" s="200"/>
      <c r="F60" s="200"/>
    </row>
    <row r="61">
      <c r="B61" s="200"/>
      <c r="C61" s="200"/>
      <c r="D61" s="200"/>
      <c r="E61" s="200"/>
      <c r="F61" s="200"/>
    </row>
    <row r="62">
      <c r="B62" s="200"/>
      <c r="C62" s="200"/>
      <c r="D62" s="200"/>
      <c r="E62" s="200"/>
      <c r="F62" s="200"/>
    </row>
    <row r="63">
      <c r="B63" s="200"/>
      <c r="C63" s="200"/>
      <c r="D63" s="200"/>
      <c r="E63" s="200"/>
      <c r="F63" s="200"/>
    </row>
    <row r="64">
      <c r="B64" s="200"/>
      <c r="C64" s="200"/>
      <c r="D64" s="200"/>
      <c r="E64" s="200"/>
      <c r="F64" s="200"/>
    </row>
    <row r="65">
      <c r="B65" s="200"/>
      <c r="C65" s="200"/>
      <c r="D65" s="200"/>
      <c r="E65" s="200"/>
      <c r="F65" s="200"/>
    </row>
    <row r="66">
      <c r="B66" s="200"/>
      <c r="C66" s="200"/>
      <c r="D66" s="200"/>
      <c r="E66" s="200"/>
      <c r="F66" s="200"/>
    </row>
    <row r="67">
      <c r="B67" s="200"/>
      <c r="C67" s="200"/>
      <c r="D67" s="200"/>
      <c r="E67" s="200"/>
      <c r="F67" s="200"/>
    </row>
    <row r="68">
      <c r="B68" s="200"/>
      <c r="C68" s="200"/>
      <c r="D68" s="200"/>
      <c r="E68" s="200"/>
      <c r="F68" s="200"/>
    </row>
    <row r="69">
      <c r="B69" s="200"/>
      <c r="C69" s="200"/>
      <c r="D69" s="200"/>
      <c r="E69" s="200"/>
      <c r="F69" s="200"/>
    </row>
    <row r="70">
      <c r="B70" s="200"/>
      <c r="C70" s="200"/>
      <c r="D70" s="200"/>
      <c r="E70" s="200"/>
      <c r="F70" s="200"/>
    </row>
    <row r="71">
      <c r="B71" s="200"/>
      <c r="C71" s="200"/>
      <c r="D71" s="200"/>
      <c r="E71" s="200"/>
      <c r="F71" s="200"/>
    </row>
    <row r="72">
      <c r="B72" s="200"/>
      <c r="C72" s="200"/>
      <c r="D72" s="200"/>
      <c r="E72" s="200"/>
      <c r="F72" s="200"/>
    </row>
    <row r="73">
      <c r="B73" s="200"/>
      <c r="C73" s="200"/>
      <c r="D73" s="200"/>
      <c r="E73" s="200"/>
      <c r="F73" s="200"/>
    </row>
    <row r="74">
      <c r="B74" s="200"/>
      <c r="C74" s="200"/>
      <c r="D74" s="200"/>
      <c r="E74" s="200"/>
      <c r="F74" s="200"/>
    </row>
    <row r="75">
      <c r="B75" s="200"/>
      <c r="C75" s="200"/>
      <c r="D75" s="200"/>
      <c r="E75" s="200"/>
      <c r="F75" s="200"/>
    </row>
    <row r="76">
      <c r="B76" s="200"/>
      <c r="C76" s="200"/>
      <c r="D76" s="200"/>
      <c r="E76" s="200"/>
      <c r="F76" s="200"/>
    </row>
    <row r="77">
      <c r="B77" s="200"/>
      <c r="C77" s="200"/>
      <c r="D77" s="200"/>
      <c r="E77" s="200"/>
      <c r="F77" s="200"/>
    </row>
    <row r="78">
      <c r="B78" s="200"/>
      <c r="C78" s="200"/>
      <c r="D78" s="200"/>
      <c r="E78" s="200"/>
      <c r="F78" s="200"/>
    </row>
    <row r="79">
      <c r="B79" s="200"/>
      <c r="C79" s="200"/>
      <c r="D79" s="200"/>
      <c r="E79" s="200"/>
      <c r="F79" s="200"/>
    </row>
    <row r="80">
      <c r="B80" s="200"/>
      <c r="C80" s="200"/>
      <c r="D80" s="200"/>
      <c r="E80" s="200"/>
      <c r="F80" s="200"/>
    </row>
    <row r="81">
      <c r="B81" s="200"/>
      <c r="C81" s="200"/>
      <c r="D81" s="200"/>
      <c r="E81" s="200"/>
      <c r="F81" s="200"/>
    </row>
    <row r="82">
      <c r="B82" s="200"/>
      <c r="C82" s="200"/>
      <c r="D82" s="200"/>
      <c r="E82" s="200"/>
      <c r="F82" s="200"/>
    </row>
    <row r="83">
      <c r="B83" s="200"/>
      <c r="C83" s="200"/>
      <c r="D83" s="200"/>
      <c r="E83" s="200"/>
      <c r="F83" s="200"/>
    </row>
    <row r="84">
      <c r="B84" s="200"/>
      <c r="C84" s="200"/>
      <c r="D84" s="200"/>
      <c r="E84" s="200"/>
      <c r="F84" s="200"/>
    </row>
    <row r="85">
      <c r="B85" s="200"/>
      <c r="C85" s="200"/>
      <c r="D85" s="200"/>
      <c r="E85" s="200"/>
      <c r="F85" s="200"/>
    </row>
    <row r="86">
      <c r="B86" s="200"/>
      <c r="C86" s="200"/>
      <c r="D86" s="200"/>
      <c r="E86" s="200"/>
      <c r="F86" s="200"/>
    </row>
    <row r="87">
      <c r="B87" s="200"/>
      <c r="C87" s="200"/>
      <c r="D87" s="200"/>
      <c r="E87" s="200"/>
      <c r="F87" s="200"/>
    </row>
    <row r="88">
      <c r="B88" s="200"/>
      <c r="C88" s="200"/>
      <c r="D88" s="200"/>
      <c r="E88" s="200"/>
      <c r="F88" s="200"/>
    </row>
    <row r="89">
      <c r="B89" s="200"/>
      <c r="C89" s="200"/>
      <c r="D89" s="200"/>
      <c r="E89" s="200"/>
      <c r="F89" s="200"/>
    </row>
    <row r="90">
      <c r="B90" s="200"/>
      <c r="C90" s="200"/>
      <c r="D90" s="200"/>
      <c r="E90" s="200"/>
      <c r="F90" s="200"/>
    </row>
    <row r="91">
      <c r="B91" s="200"/>
      <c r="C91" s="200"/>
      <c r="D91" s="200"/>
      <c r="E91" s="200"/>
      <c r="F91" s="200"/>
    </row>
    <row r="92">
      <c r="B92" s="200"/>
      <c r="C92" s="200"/>
      <c r="D92" s="200"/>
      <c r="E92" s="200"/>
      <c r="F92" s="200"/>
    </row>
    <row r="93">
      <c r="B93" s="200"/>
      <c r="C93" s="200"/>
      <c r="D93" s="200"/>
      <c r="E93" s="200"/>
      <c r="F93" s="200"/>
    </row>
    <row r="94">
      <c r="B94" s="200"/>
      <c r="C94" s="200"/>
      <c r="D94" s="200"/>
      <c r="E94" s="200"/>
      <c r="F94" s="200"/>
    </row>
    <row r="95">
      <c r="B95" s="200"/>
      <c r="C95" s="200"/>
      <c r="D95" s="200"/>
      <c r="E95" s="200"/>
      <c r="F95" s="200"/>
    </row>
    <row r="96">
      <c r="B96" s="200"/>
      <c r="C96" s="200"/>
      <c r="D96" s="200"/>
      <c r="E96" s="200"/>
      <c r="F96" s="200"/>
    </row>
    <row r="97">
      <c r="B97" s="200"/>
      <c r="C97" s="200"/>
      <c r="D97" s="200"/>
      <c r="E97" s="200"/>
      <c r="F97" s="200"/>
    </row>
    <row r="98">
      <c r="B98" s="200"/>
      <c r="C98" s="200"/>
      <c r="D98" s="200"/>
      <c r="E98" s="200"/>
      <c r="F98" s="200"/>
    </row>
    <row r="99">
      <c r="B99" s="200"/>
      <c r="C99" s="200"/>
      <c r="D99" s="200"/>
      <c r="E99" s="200"/>
      <c r="F99" s="200"/>
    </row>
    <row r="100">
      <c r="B100" s="200"/>
      <c r="C100" s="200"/>
      <c r="D100" s="200"/>
      <c r="E100" s="200"/>
      <c r="F100" s="200"/>
    </row>
    <row r="101">
      <c r="B101" s="200"/>
      <c r="C101" s="200"/>
      <c r="D101" s="200"/>
      <c r="E101" s="200"/>
      <c r="F101" s="200"/>
    </row>
    <row r="102">
      <c r="B102" s="200"/>
      <c r="C102" s="200"/>
      <c r="D102" s="200"/>
      <c r="E102" s="200"/>
      <c r="F102" s="200"/>
    </row>
    <row r="103">
      <c r="B103" s="200"/>
      <c r="C103" s="200"/>
      <c r="D103" s="200"/>
      <c r="E103" s="200"/>
      <c r="F103" s="200"/>
    </row>
    <row r="104">
      <c r="B104" s="200"/>
      <c r="C104" s="200"/>
      <c r="D104" s="200"/>
      <c r="E104" s="200"/>
      <c r="F104" s="200"/>
    </row>
    <row r="105">
      <c r="B105" s="200"/>
      <c r="C105" s="200"/>
      <c r="D105" s="200"/>
      <c r="E105" s="200"/>
      <c r="F105" s="200"/>
    </row>
    <row r="106">
      <c r="B106" s="200"/>
      <c r="C106" s="200"/>
      <c r="D106" s="200"/>
      <c r="E106" s="200"/>
      <c r="F106" s="200"/>
    </row>
    <row r="107">
      <c r="B107" s="200"/>
      <c r="C107" s="200"/>
      <c r="D107" s="200"/>
      <c r="E107" s="200"/>
      <c r="F107" s="200"/>
    </row>
    <row r="108">
      <c r="B108" s="200"/>
      <c r="C108" s="200"/>
      <c r="D108" s="200"/>
      <c r="E108" s="200"/>
      <c r="F108" s="200"/>
    </row>
    <row r="109">
      <c r="B109" s="200"/>
      <c r="C109" s="200"/>
      <c r="D109" s="200"/>
      <c r="E109" s="200"/>
      <c r="F109" s="200"/>
    </row>
    <row r="110">
      <c r="B110" s="200"/>
      <c r="C110" s="200"/>
      <c r="D110" s="200"/>
      <c r="E110" s="200"/>
      <c r="F110" s="200"/>
    </row>
    <row r="111">
      <c r="B111" s="200"/>
      <c r="C111" s="200"/>
      <c r="D111" s="200"/>
      <c r="E111" s="200"/>
      <c r="F111" s="200"/>
    </row>
    <row r="112">
      <c r="B112" s="200"/>
      <c r="C112" s="200"/>
      <c r="D112" s="200"/>
      <c r="E112" s="200"/>
      <c r="F112" s="200"/>
    </row>
    <row r="113">
      <c r="B113" s="200"/>
      <c r="C113" s="200"/>
      <c r="D113" s="200"/>
      <c r="E113" s="200"/>
      <c r="F113" s="200"/>
    </row>
    <row r="114">
      <c r="B114" s="200"/>
      <c r="C114" s="200"/>
      <c r="D114" s="200"/>
      <c r="E114" s="200"/>
      <c r="F114" s="200"/>
    </row>
    <row r="115">
      <c r="B115" s="200"/>
      <c r="C115" s="200"/>
      <c r="D115" s="200"/>
      <c r="E115" s="200"/>
      <c r="F115" s="200"/>
    </row>
    <row r="116">
      <c r="B116" s="200"/>
      <c r="C116" s="200"/>
      <c r="D116" s="200"/>
      <c r="E116" s="200"/>
      <c r="F116" s="200"/>
    </row>
    <row r="117">
      <c r="B117" s="200"/>
      <c r="C117" s="200"/>
      <c r="D117" s="200"/>
      <c r="E117" s="200"/>
      <c r="F117" s="200"/>
    </row>
    <row r="118">
      <c r="B118" s="200"/>
      <c r="C118" s="200"/>
      <c r="D118" s="200"/>
      <c r="E118" s="200"/>
      <c r="F118" s="200"/>
    </row>
    <row r="119">
      <c r="B119" s="200"/>
      <c r="C119" s="200"/>
      <c r="D119" s="200"/>
      <c r="E119" s="200"/>
      <c r="F119" s="200"/>
    </row>
    <row r="120">
      <c r="B120" s="200"/>
      <c r="C120" s="200"/>
      <c r="D120" s="200"/>
      <c r="E120" s="200"/>
      <c r="F120" s="200"/>
    </row>
    <row r="121">
      <c r="B121" s="200"/>
      <c r="C121" s="200"/>
      <c r="D121" s="200"/>
      <c r="E121" s="200"/>
      <c r="F121" s="200"/>
    </row>
    <row r="122">
      <c r="B122" s="200"/>
      <c r="C122" s="200"/>
      <c r="D122" s="200"/>
      <c r="E122" s="200"/>
      <c r="F122" s="200"/>
    </row>
    <row r="123">
      <c r="B123" s="200"/>
      <c r="C123" s="200"/>
      <c r="D123" s="200"/>
      <c r="E123" s="200"/>
      <c r="F123" s="200"/>
    </row>
    <row r="124">
      <c r="B124" s="200"/>
      <c r="C124" s="200"/>
      <c r="D124" s="200"/>
      <c r="E124" s="200"/>
      <c r="F124" s="200"/>
    </row>
    <row r="125">
      <c r="B125" s="200"/>
      <c r="C125" s="200"/>
      <c r="D125" s="200"/>
      <c r="E125" s="200"/>
      <c r="F125" s="200"/>
    </row>
    <row r="126">
      <c r="B126" s="200"/>
      <c r="C126" s="200"/>
      <c r="D126" s="200"/>
      <c r="E126" s="200"/>
      <c r="F126" s="200"/>
    </row>
    <row r="127">
      <c r="B127" s="200"/>
      <c r="C127" s="200"/>
      <c r="D127" s="200"/>
      <c r="E127" s="200"/>
      <c r="F127" s="200"/>
    </row>
    <row r="128">
      <c r="B128" s="200"/>
      <c r="C128" s="200"/>
      <c r="D128" s="200"/>
      <c r="E128" s="200"/>
      <c r="F128" s="200"/>
    </row>
    <row r="129">
      <c r="B129" s="200"/>
      <c r="C129" s="200"/>
      <c r="D129" s="200"/>
      <c r="E129" s="200"/>
      <c r="F129" s="200"/>
    </row>
    <row r="130">
      <c r="B130" s="200"/>
      <c r="C130" s="200"/>
      <c r="D130" s="200"/>
      <c r="E130" s="200"/>
      <c r="F130" s="200"/>
    </row>
    <row r="131">
      <c r="B131" s="200"/>
      <c r="C131" s="200"/>
      <c r="D131" s="200"/>
      <c r="E131" s="200"/>
      <c r="F131" s="200"/>
    </row>
    <row r="132">
      <c r="B132" s="200"/>
      <c r="C132" s="200"/>
      <c r="D132" s="200"/>
      <c r="E132" s="200"/>
      <c r="F132" s="200"/>
    </row>
    <row r="133">
      <c r="B133" s="200"/>
      <c r="C133" s="200"/>
      <c r="D133" s="200"/>
      <c r="E133" s="200"/>
      <c r="F133" s="200"/>
    </row>
    <row r="134">
      <c r="B134" s="200"/>
      <c r="C134" s="200"/>
      <c r="D134" s="200"/>
      <c r="E134" s="200"/>
      <c r="F134" s="200"/>
    </row>
    <row r="135">
      <c r="B135" s="200"/>
      <c r="C135" s="200"/>
      <c r="D135" s="200"/>
      <c r="E135" s="200"/>
      <c r="F135" s="200"/>
    </row>
    <row r="136">
      <c r="B136" s="200"/>
      <c r="C136" s="200"/>
      <c r="D136" s="200"/>
      <c r="E136" s="200"/>
      <c r="F136" s="200"/>
    </row>
    <row r="137">
      <c r="B137" s="200"/>
      <c r="C137" s="200"/>
      <c r="D137" s="200"/>
      <c r="E137" s="200"/>
      <c r="F137" s="200"/>
    </row>
    <row r="138">
      <c r="B138" s="200"/>
      <c r="C138" s="200"/>
      <c r="D138" s="200"/>
      <c r="E138" s="200"/>
      <c r="F138" s="200"/>
    </row>
    <row r="139">
      <c r="B139" s="200"/>
      <c r="C139" s="200"/>
      <c r="D139" s="200"/>
      <c r="E139" s="200"/>
      <c r="F139" s="200"/>
    </row>
    <row r="140">
      <c r="B140" s="200"/>
      <c r="C140" s="200"/>
      <c r="D140" s="200"/>
      <c r="E140" s="200"/>
      <c r="F140" s="200"/>
    </row>
    <row r="141">
      <c r="B141" s="200"/>
      <c r="C141" s="200"/>
      <c r="D141" s="200"/>
      <c r="E141" s="200"/>
      <c r="F141" s="200"/>
    </row>
    <row r="142">
      <c r="B142" s="200"/>
      <c r="C142" s="200"/>
      <c r="D142" s="200"/>
      <c r="E142" s="200"/>
      <c r="F142" s="200"/>
    </row>
    <row r="143">
      <c r="B143" s="200"/>
      <c r="C143" s="200"/>
      <c r="D143" s="200"/>
      <c r="E143" s="200"/>
      <c r="F143" s="200"/>
    </row>
    <row r="144">
      <c r="B144" s="200"/>
      <c r="C144" s="200"/>
      <c r="D144" s="200"/>
      <c r="E144" s="200"/>
      <c r="F144" s="200"/>
    </row>
    <row r="145">
      <c r="B145" s="200"/>
      <c r="C145" s="200"/>
      <c r="D145" s="200"/>
      <c r="E145" s="200"/>
      <c r="F145" s="200"/>
    </row>
    <row r="146">
      <c r="B146" s="200"/>
      <c r="C146" s="200"/>
      <c r="D146" s="200"/>
      <c r="E146" s="200"/>
      <c r="F146" s="200"/>
    </row>
    <row r="147">
      <c r="B147" s="200"/>
      <c r="C147" s="200"/>
      <c r="D147" s="200"/>
      <c r="E147" s="200"/>
      <c r="F147" s="200"/>
    </row>
    <row r="148">
      <c r="B148" s="200"/>
      <c r="C148" s="200"/>
      <c r="D148" s="200"/>
      <c r="E148" s="200"/>
      <c r="F148" s="200"/>
    </row>
    <row r="149">
      <c r="B149" s="200"/>
      <c r="C149" s="200"/>
      <c r="D149" s="200"/>
      <c r="E149" s="200"/>
      <c r="F149" s="200"/>
    </row>
    <row r="150">
      <c r="B150" s="200"/>
      <c r="C150" s="200"/>
      <c r="D150" s="200"/>
      <c r="E150" s="200"/>
      <c r="F150" s="200"/>
    </row>
    <row r="151">
      <c r="B151" s="200"/>
      <c r="C151" s="200"/>
      <c r="D151" s="200"/>
      <c r="E151" s="200"/>
      <c r="F151" s="200"/>
    </row>
    <row r="152">
      <c r="B152" s="200"/>
      <c r="C152" s="200"/>
      <c r="D152" s="200"/>
      <c r="E152" s="200"/>
      <c r="F152" s="200"/>
    </row>
    <row r="153">
      <c r="B153" s="200"/>
      <c r="C153" s="200"/>
      <c r="D153" s="200"/>
      <c r="E153" s="200"/>
      <c r="F153" s="200"/>
    </row>
    <row r="154">
      <c r="B154" s="200"/>
      <c r="C154" s="200"/>
      <c r="D154" s="200"/>
      <c r="E154" s="200"/>
      <c r="F154" s="200"/>
    </row>
    <row r="155">
      <c r="B155" s="200"/>
      <c r="C155" s="200"/>
      <c r="D155" s="200"/>
      <c r="E155" s="200"/>
      <c r="F155" s="200"/>
    </row>
    <row r="156">
      <c r="B156" s="200"/>
      <c r="C156" s="200"/>
      <c r="D156" s="200"/>
      <c r="E156" s="200"/>
      <c r="F156" s="200"/>
    </row>
    <row r="157">
      <c r="B157" s="200"/>
      <c r="C157" s="200"/>
      <c r="D157" s="200"/>
      <c r="E157" s="200"/>
      <c r="F157" s="200"/>
    </row>
    <row r="158">
      <c r="B158" s="200"/>
      <c r="C158" s="200"/>
      <c r="D158" s="200"/>
      <c r="E158" s="200"/>
      <c r="F158" s="200"/>
    </row>
    <row r="159">
      <c r="B159" s="200"/>
      <c r="C159" s="200"/>
      <c r="D159" s="200"/>
      <c r="E159" s="200"/>
      <c r="F159" s="200"/>
    </row>
    <row r="160">
      <c r="B160" s="200"/>
      <c r="C160" s="200"/>
      <c r="D160" s="200"/>
      <c r="E160" s="200"/>
      <c r="F160" s="200"/>
    </row>
    <row r="161">
      <c r="B161" s="200"/>
      <c r="C161" s="200"/>
      <c r="D161" s="200"/>
      <c r="E161" s="200"/>
      <c r="F161" s="200"/>
    </row>
    <row r="162">
      <c r="B162" s="200"/>
      <c r="C162" s="200"/>
      <c r="D162" s="200"/>
      <c r="E162" s="200"/>
      <c r="F162" s="200"/>
    </row>
    <row r="163">
      <c r="B163" s="200"/>
      <c r="C163" s="200"/>
      <c r="D163" s="200"/>
      <c r="E163" s="200"/>
      <c r="F163" s="200"/>
    </row>
    <row r="164">
      <c r="B164" s="200"/>
      <c r="C164" s="200"/>
      <c r="D164" s="200"/>
      <c r="E164" s="200"/>
      <c r="F164" s="200"/>
    </row>
    <row r="165">
      <c r="B165" s="200"/>
      <c r="C165" s="200"/>
      <c r="D165" s="200"/>
      <c r="E165" s="200"/>
      <c r="F165" s="200"/>
    </row>
    <row r="166">
      <c r="B166" s="200"/>
      <c r="C166" s="200"/>
      <c r="D166" s="200"/>
      <c r="E166" s="200"/>
      <c r="F166" s="200"/>
    </row>
    <row r="167">
      <c r="B167" s="200"/>
      <c r="C167" s="200"/>
      <c r="D167" s="200"/>
      <c r="E167" s="200"/>
      <c r="F167" s="200"/>
    </row>
    <row r="168">
      <c r="B168" s="200"/>
      <c r="C168" s="200"/>
      <c r="D168" s="200"/>
      <c r="E168" s="200"/>
      <c r="F168" s="200"/>
    </row>
    <row r="169">
      <c r="B169" s="200"/>
      <c r="C169" s="200"/>
      <c r="D169" s="200"/>
      <c r="E169" s="200"/>
      <c r="F169" s="200"/>
    </row>
    <row r="170">
      <c r="B170" s="200"/>
      <c r="C170" s="200"/>
      <c r="D170" s="200"/>
      <c r="E170" s="200"/>
      <c r="F170" s="200"/>
    </row>
    <row r="171">
      <c r="B171" s="200"/>
      <c r="C171" s="200"/>
      <c r="D171" s="200"/>
      <c r="E171" s="200"/>
      <c r="F171" s="200"/>
    </row>
    <row r="172">
      <c r="B172" s="200"/>
      <c r="C172" s="200"/>
      <c r="D172" s="200"/>
      <c r="E172" s="200"/>
      <c r="F172" s="200"/>
    </row>
    <row r="173">
      <c r="B173" s="200"/>
      <c r="C173" s="200"/>
      <c r="D173" s="200"/>
      <c r="E173" s="200"/>
      <c r="F173" s="200"/>
    </row>
    <row r="174">
      <c r="B174" s="200"/>
      <c r="C174" s="200"/>
      <c r="D174" s="200"/>
      <c r="E174" s="200"/>
      <c r="F174" s="200"/>
    </row>
    <row r="175">
      <c r="B175" s="200"/>
      <c r="C175" s="200"/>
      <c r="D175" s="200"/>
      <c r="E175" s="200"/>
      <c r="F175" s="200"/>
    </row>
    <row r="176">
      <c r="B176" s="200"/>
      <c r="C176" s="200"/>
      <c r="D176" s="200"/>
      <c r="E176" s="200"/>
      <c r="F176" s="200"/>
    </row>
    <row r="177">
      <c r="B177" s="200"/>
      <c r="C177" s="200"/>
      <c r="D177" s="200"/>
      <c r="E177" s="200"/>
      <c r="F177" s="200"/>
    </row>
    <row r="178">
      <c r="B178" s="200"/>
      <c r="C178" s="200"/>
      <c r="D178" s="200"/>
      <c r="E178" s="200"/>
      <c r="F178" s="200"/>
    </row>
    <row r="179">
      <c r="B179" s="200"/>
      <c r="C179" s="200"/>
      <c r="D179" s="200"/>
      <c r="E179" s="200"/>
      <c r="F179" s="200"/>
    </row>
    <row r="180">
      <c r="B180" s="200"/>
      <c r="C180" s="200"/>
      <c r="D180" s="200"/>
      <c r="E180" s="200"/>
      <c r="F180" s="200"/>
    </row>
    <row r="181">
      <c r="B181" s="200"/>
      <c r="C181" s="200"/>
      <c r="D181" s="200"/>
      <c r="E181" s="200"/>
      <c r="F181" s="200"/>
    </row>
    <row r="182">
      <c r="B182" s="200"/>
      <c r="C182" s="200"/>
      <c r="D182" s="200"/>
      <c r="E182" s="200"/>
      <c r="F182" s="200"/>
    </row>
    <row r="183">
      <c r="B183" s="200"/>
      <c r="C183" s="200"/>
      <c r="D183" s="200"/>
      <c r="E183" s="200"/>
      <c r="F183" s="200"/>
    </row>
    <row r="184">
      <c r="B184" s="200"/>
      <c r="C184" s="200"/>
      <c r="D184" s="200"/>
      <c r="E184" s="200"/>
      <c r="F184" s="200"/>
    </row>
    <row r="185">
      <c r="B185" s="200"/>
      <c r="C185" s="200"/>
      <c r="D185" s="200"/>
      <c r="E185" s="200"/>
      <c r="F185" s="200"/>
    </row>
    <row r="186">
      <c r="B186" s="200"/>
      <c r="C186" s="200"/>
      <c r="D186" s="200"/>
      <c r="E186" s="200"/>
      <c r="F186" s="200"/>
    </row>
    <row r="187">
      <c r="B187" s="200"/>
      <c r="C187" s="200"/>
      <c r="D187" s="200"/>
      <c r="E187" s="200"/>
      <c r="F187" s="200"/>
    </row>
    <row r="188">
      <c r="B188" s="200"/>
      <c r="C188" s="200"/>
      <c r="D188" s="200"/>
      <c r="E188" s="200"/>
      <c r="F188" s="200"/>
    </row>
    <row r="189">
      <c r="B189" s="200"/>
      <c r="C189" s="200"/>
      <c r="D189" s="200"/>
      <c r="E189" s="200"/>
      <c r="F189" s="200"/>
    </row>
    <row r="190">
      <c r="B190" s="200"/>
      <c r="C190" s="200"/>
      <c r="D190" s="200"/>
      <c r="E190" s="200"/>
      <c r="F190" s="200"/>
    </row>
    <row r="191">
      <c r="B191" s="200"/>
      <c r="C191" s="200"/>
      <c r="D191" s="200"/>
      <c r="E191" s="200"/>
      <c r="F191" s="200"/>
    </row>
    <row r="192">
      <c r="B192" s="200"/>
      <c r="C192" s="200"/>
      <c r="D192" s="200"/>
      <c r="E192" s="200"/>
      <c r="F192" s="200"/>
    </row>
    <row r="193">
      <c r="B193" s="200"/>
      <c r="C193" s="200"/>
      <c r="D193" s="200"/>
      <c r="E193" s="200"/>
      <c r="F193" s="200"/>
    </row>
    <row r="194">
      <c r="B194" s="200"/>
      <c r="C194" s="200"/>
      <c r="D194" s="200"/>
      <c r="E194" s="200"/>
      <c r="F194" s="200"/>
    </row>
    <row r="195">
      <c r="B195" s="200"/>
      <c r="C195" s="200"/>
      <c r="D195" s="200"/>
      <c r="E195" s="200"/>
      <c r="F195" s="200"/>
    </row>
    <row r="196">
      <c r="B196" s="200"/>
      <c r="C196" s="200"/>
      <c r="D196" s="200"/>
      <c r="E196" s="200"/>
      <c r="F196" s="200"/>
    </row>
    <row r="197">
      <c r="B197" s="200"/>
      <c r="C197" s="200"/>
      <c r="D197" s="200"/>
      <c r="E197" s="200"/>
      <c r="F197" s="200"/>
    </row>
    <row r="198">
      <c r="B198" s="200"/>
      <c r="C198" s="200"/>
      <c r="D198" s="200"/>
      <c r="E198" s="200"/>
      <c r="F198" s="200"/>
    </row>
    <row r="199">
      <c r="B199" s="200"/>
      <c r="C199" s="200"/>
      <c r="D199" s="200"/>
      <c r="E199" s="200"/>
      <c r="F199" s="200"/>
    </row>
    <row r="200">
      <c r="B200" s="200"/>
      <c r="C200" s="200"/>
      <c r="D200" s="200"/>
      <c r="E200" s="200"/>
      <c r="F200" s="200"/>
    </row>
    <row r="201">
      <c r="B201" s="200"/>
      <c r="C201" s="200"/>
      <c r="D201" s="200"/>
      <c r="E201" s="200"/>
      <c r="F201" s="200"/>
    </row>
    <row r="202">
      <c r="B202" s="200"/>
      <c r="C202" s="200"/>
      <c r="D202" s="200"/>
      <c r="E202" s="200"/>
      <c r="F202" s="200"/>
    </row>
    <row r="203">
      <c r="B203" s="200"/>
      <c r="C203" s="200"/>
      <c r="D203" s="200"/>
      <c r="E203" s="200"/>
      <c r="F203" s="200"/>
    </row>
    <row r="204">
      <c r="B204" s="200"/>
      <c r="C204" s="200"/>
      <c r="D204" s="200"/>
      <c r="E204" s="200"/>
      <c r="F204" s="200"/>
    </row>
    <row r="205">
      <c r="B205" s="200"/>
      <c r="C205" s="200"/>
      <c r="D205" s="200"/>
      <c r="E205" s="200"/>
      <c r="F205" s="200"/>
    </row>
    <row r="206">
      <c r="B206" s="200"/>
      <c r="C206" s="200"/>
      <c r="D206" s="200"/>
      <c r="E206" s="200"/>
      <c r="F206" s="200"/>
    </row>
    <row r="207">
      <c r="B207" s="200"/>
      <c r="C207" s="200"/>
      <c r="D207" s="200"/>
      <c r="E207" s="200"/>
      <c r="F207" s="200"/>
    </row>
    <row r="208">
      <c r="B208" s="200"/>
      <c r="C208" s="200"/>
      <c r="D208" s="200"/>
      <c r="E208" s="200"/>
      <c r="F208" s="200"/>
    </row>
    <row r="209">
      <c r="B209" s="200"/>
      <c r="C209" s="200"/>
      <c r="D209" s="200"/>
      <c r="E209" s="200"/>
      <c r="F209" s="200"/>
    </row>
    <row r="210">
      <c r="B210" s="200"/>
      <c r="C210" s="200"/>
      <c r="D210" s="200"/>
      <c r="E210" s="200"/>
      <c r="F210" s="200"/>
    </row>
    <row r="211">
      <c r="B211" s="200"/>
      <c r="C211" s="200"/>
      <c r="D211" s="200"/>
      <c r="E211" s="200"/>
      <c r="F211" s="200"/>
    </row>
    <row r="212">
      <c r="B212" s="200"/>
      <c r="C212" s="200"/>
      <c r="D212" s="200"/>
      <c r="E212" s="200"/>
      <c r="F212" s="200"/>
    </row>
    <row r="213">
      <c r="B213" s="200"/>
      <c r="C213" s="200"/>
      <c r="D213" s="200"/>
      <c r="E213" s="200"/>
      <c r="F213" s="200"/>
    </row>
    <row r="214">
      <c r="B214" s="200"/>
      <c r="C214" s="200"/>
      <c r="D214" s="200"/>
      <c r="E214" s="200"/>
      <c r="F214" s="200"/>
    </row>
    <row r="215">
      <c r="B215" s="200"/>
      <c r="C215" s="200"/>
      <c r="D215" s="200"/>
      <c r="E215" s="200"/>
      <c r="F215" s="200"/>
    </row>
    <row r="216">
      <c r="B216" s="200"/>
      <c r="C216" s="200"/>
      <c r="D216" s="200"/>
      <c r="E216" s="200"/>
      <c r="F216" s="200"/>
    </row>
    <row r="217">
      <c r="B217" s="200"/>
      <c r="C217" s="200"/>
      <c r="D217" s="200"/>
      <c r="E217" s="200"/>
      <c r="F217" s="200"/>
    </row>
    <row r="218">
      <c r="B218" s="200"/>
      <c r="C218" s="200"/>
      <c r="D218" s="200"/>
      <c r="E218" s="200"/>
      <c r="F218" s="200"/>
    </row>
    <row r="219">
      <c r="B219" s="200"/>
      <c r="C219" s="200"/>
      <c r="D219" s="200"/>
      <c r="E219" s="200"/>
      <c r="F219" s="200"/>
    </row>
    <row r="220">
      <c r="B220" s="200"/>
      <c r="C220" s="200"/>
      <c r="D220" s="200"/>
      <c r="E220" s="200"/>
      <c r="F220" s="200"/>
    </row>
    <row r="221">
      <c r="B221" s="200"/>
      <c r="C221" s="200"/>
      <c r="D221" s="200"/>
      <c r="E221" s="200"/>
      <c r="F221" s="200"/>
    </row>
    <row r="222">
      <c r="B222" s="200"/>
      <c r="C222" s="200"/>
      <c r="D222" s="200"/>
      <c r="E222" s="200"/>
      <c r="F222" s="200"/>
    </row>
    <row r="223">
      <c r="B223" s="200"/>
      <c r="C223" s="200"/>
      <c r="D223" s="200"/>
      <c r="E223" s="200"/>
      <c r="F223" s="200"/>
    </row>
    <row r="224">
      <c r="B224" s="200"/>
      <c r="C224" s="200"/>
      <c r="D224" s="200"/>
      <c r="E224" s="200"/>
      <c r="F224" s="200"/>
    </row>
    <row r="225">
      <c r="B225" s="200"/>
      <c r="C225" s="200"/>
      <c r="D225" s="200"/>
      <c r="E225" s="200"/>
      <c r="F225" s="200"/>
    </row>
    <row r="226">
      <c r="B226" s="200"/>
      <c r="C226" s="200"/>
      <c r="D226" s="200"/>
      <c r="E226" s="200"/>
      <c r="F226" s="200"/>
    </row>
    <row r="227">
      <c r="B227" s="200"/>
      <c r="C227" s="200"/>
      <c r="D227" s="200"/>
      <c r="E227" s="200"/>
      <c r="F227" s="200"/>
    </row>
    <row r="228">
      <c r="B228" s="200"/>
      <c r="C228" s="200"/>
      <c r="D228" s="200"/>
      <c r="E228" s="200"/>
      <c r="F228" s="200"/>
    </row>
    <row r="229">
      <c r="B229" s="200"/>
      <c r="C229" s="200"/>
      <c r="D229" s="200"/>
      <c r="E229" s="200"/>
      <c r="F229" s="200"/>
    </row>
    <row r="230">
      <c r="B230" s="200"/>
      <c r="C230" s="200"/>
      <c r="D230" s="200"/>
      <c r="E230" s="200"/>
      <c r="F230" s="200"/>
    </row>
    <row r="231">
      <c r="B231" s="200"/>
      <c r="C231" s="200"/>
      <c r="D231" s="200"/>
      <c r="E231" s="200"/>
      <c r="F231" s="200"/>
    </row>
    <row r="232">
      <c r="B232" s="200"/>
      <c r="C232" s="200"/>
      <c r="D232" s="200"/>
      <c r="E232" s="200"/>
      <c r="F232" s="200"/>
    </row>
    <row r="233">
      <c r="B233" s="200"/>
      <c r="C233" s="200"/>
      <c r="D233" s="200"/>
      <c r="E233" s="200"/>
      <c r="F233" s="200"/>
    </row>
    <row r="234">
      <c r="B234" s="200"/>
      <c r="C234" s="200"/>
      <c r="D234" s="200"/>
      <c r="E234" s="200"/>
      <c r="F234" s="200"/>
    </row>
    <row r="235">
      <c r="B235" s="200"/>
      <c r="C235" s="200"/>
      <c r="D235" s="200"/>
      <c r="E235" s="200"/>
      <c r="F235" s="200"/>
    </row>
    <row r="236">
      <c r="B236" s="200"/>
      <c r="C236" s="200"/>
      <c r="D236" s="200"/>
      <c r="E236" s="200"/>
      <c r="F236" s="200"/>
    </row>
    <row r="237">
      <c r="B237" s="200"/>
      <c r="C237" s="200"/>
      <c r="D237" s="200"/>
      <c r="E237" s="200"/>
      <c r="F237" s="200"/>
    </row>
    <row r="238">
      <c r="B238" s="200"/>
      <c r="C238" s="200"/>
      <c r="D238" s="200"/>
      <c r="E238" s="200"/>
      <c r="F238" s="200"/>
    </row>
    <row r="239">
      <c r="B239" s="200"/>
      <c r="C239" s="200"/>
      <c r="D239" s="200"/>
      <c r="E239" s="200"/>
      <c r="F239" s="200"/>
    </row>
    <row r="240">
      <c r="B240" s="200"/>
      <c r="C240" s="200"/>
      <c r="D240" s="200"/>
      <c r="E240" s="200"/>
      <c r="F240" s="200"/>
    </row>
    <row r="241">
      <c r="B241" s="200"/>
      <c r="C241" s="200"/>
      <c r="D241" s="200"/>
      <c r="E241" s="200"/>
      <c r="F241" s="200"/>
    </row>
    <row r="242">
      <c r="B242" s="200"/>
      <c r="C242" s="200"/>
      <c r="D242" s="200"/>
      <c r="E242" s="200"/>
      <c r="F242" s="200"/>
    </row>
    <row r="243">
      <c r="B243" s="200"/>
      <c r="C243" s="200"/>
      <c r="D243" s="200"/>
      <c r="E243" s="200"/>
      <c r="F243" s="200"/>
    </row>
    <row r="244">
      <c r="B244" s="200"/>
      <c r="C244" s="200"/>
      <c r="D244" s="200"/>
      <c r="E244" s="200"/>
      <c r="F244" s="200"/>
    </row>
    <row r="245">
      <c r="B245" s="200"/>
      <c r="C245" s="200"/>
      <c r="D245" s="200"/>
      <c r="E245" s="200"/>
      <c r="F245" s="200"/>
    </row>
    <row r="246">
      <c r="B246" s="200"/>
      <c r="C246" s="200"/>
      <c r="D246" s="200"/>
      <c r="E246" s="200"/>
      <c r="F246" s="200"/>
    </row>
    <row r="247">
      <c r="B247" s="200"/>
      <c r="C247" s="200"/>
      <c r="D247" s="200"/>
      <c r="E247" s="200"/>
      <c r="F247" s="200"/>
    </row>
    <row r="248">
      <c r="B248" s="200"/>
      <c r="C248" s="200"/>
      <c r="D248" s="200"/>
      <c r="E248" s="200"/>
      <c r="F248" s="200"/>
    </row>
    <row r="249">
      <c r="B249" s="200"/>
      <c r="C249" s="200"/>
      <c r="D249" s="200"/>
      <c r="E249" s="200"/>
      <c r="F249" s="200"/>
    </row>
    <row r="250">
      <c r="B250" s="200"/>
      <c r="C250" s="200"/>
      <c r="D250" s="200"/>
      <c r="E250" s="200"/>
      <c r="F250" s="200"/>
    </row>
    <row r="251">
      <c r="B251" s="200"/>
      <c r="C251" s="200"/>
      <c r="D251" s="200"/>
      <c r="E251" s="200"/>
      <c r="F251" s="200"/>
    </row>
    <row r="252">
      <c r="B252" s="200"/>
      <c r="C252" s="200"/>
      <c r="D252" s="200"/>
      <c r="E252" s="200"/>
      <c r="F252" s="200"/>
    </row>
    <row r="253">
      <c r="B253" s="200"/>
      <c r="C253" s="200"/>
      <c r="D253" s="200"/>
      <c r="E253" s="200"/>
      <c r="F253" s="200"/>
    </row>
    <row r="254">
      <c r="B254" s="200"/>
      <c r="C254" s="200"/>
      <c r="D254" s="200"/>
      <c r="E254" s="200"/>
      <c r="F254" s="200"/>
    </row>
    <row r="255">
      <c r="B255" s="200"/>
      <c r="C255" s="200"/>
      <c r="D255" s="200"/>
      <c r="E255" s="200"/>
      <c r="F255" s="200"/>
    </row>
    <row r="256">
      <c r="B256" s="200"/>
      <c r="C256" s="200"/>
      <c r="D256" s="200"/>
      <c r="E256" s="200"/>
      <c r="F256" s="200"/>
    </row>
    <row r="257">
      <c r="B257" s="200"/>
      <c r="C257" s="200"/>
      <c r="D257" s="200"/>
      <c r="E257" s="200"/>
      <c r="F257" s="200"/>
    </row>
    <row r="258">
      <c r="B258" s="200"/>
      <c r="C258" s="200"/>
      <c r="D258" s="200"/>
      <c r="E258" s="200"/>
      <c r="F258" s="200"/>
    </row>
    <row r="259">
      <c r="B259" s="200"/>
      <c r="C259" s="200"/>
      <c r="D259" s="200"/>
      <c r="E259" s="200"/>
      <c r="F259" s="200"/>
    </row>
    <row r="260">
      <c r="B260" s="200"/>
      <c r="C260" s="200"/>
      <c r="D260" s="200"/>
      <c r="E260" s="200"/>
      <c r="F260" s="200"/>
    </row>
    <row r="261">
      <c r="B261" s="200"/>
      <c r="C261" s="200"/>
      <c r="D261" s="200"/>
      <c r="E261" s="200"/>
      <c r="F261" s="200"/>
    </row>
    <row r="262">
      <c r="B262" s="200"/>
      <c r="C262" s="200"/>
      <c r="D262" s="200"/>
      <c r="E262" s="200"/>
      <c r="F262" s="200"/>
    </row>
    <row r="263">
      <c r="B263" s="200"/>
      <c r="C263" s="200"/>
      <c r="D263" s="200"/>
      <c r="E263" s="200"/>
      <c r="F263" s="200"/>
    </row>
    <row r="264">
      <c r="B264" s="200"/>
      <c r="C264" s="200"/>
      <c r="D264" s="200"/>
      <c r="E264" s="200"/>
      <c r="F264" s="200"/>
    </row>
    <row r="265">
      <c r="B265" s="200"/>
      <c r="C265" s="200"/>
      <c r="D265" s="200"/>
      <c r="E265" s="200"/>
      <c r="F265" s="200"/>
    </row>
    <row r="266">
      <c r="B266" s="200"/>
      <c r="C266" s="200"/>
      <c r="D266" s="200"/>
      <c r="E266" s="200"/>
      <c r="F266" s="200"/>
    </row>
    <row r="267">
      <c r="B267" s="200"/>
      <c r="C267" s="200"/>
      <c r="D267" s="200"/>
      <c r="E267" s="200"/>
      <c r="F267" s="200"/>
    </row>
    <row r="268">
      <c r="B268" s="200"/>
      <c r="C268" s="200"/>
      <c r="D268" s="200"/>
      <c r="E268" s="200"/>
      <c r="F268" s="200"/>
    </row>
    <row r="269">
      <c r="B269" s="200"/>
      <c r="C269" s="200"/>
      <c r="D269" s="200"/>
      <c r="E269" s="200"/>
      <c r="F269" s="200"/>
    </row>
    <row r="270">
      <c r="B270" s="200"/>
      <c r="C270" s="200"/>
      <c r="D270" s="200"/>
      <c r="E270" s="200"/>
      <c r="F270" s="200"/>
    </row>
    <row r="271">
      <c r="B271" s="200"/>
      <c r="C271" s="200"/>
      <c r="D271" s="200"/>
      <c r="E271" s="200"/>
      <c r="F271" s="200"/>
    </row>
    <row r="272">
      <c r="B272" s="200"/>
      <c r="C272" s="200"/>
      <c r="D272" s="200"/>
      <c r="E272" s="200"/>
      <c r="F272" s="200"/>
    </row>
    <row r="273">
      <c r="B273" s="200"/>
      <c r="C273" s="200"/>
      <c r="D273" s="200"/>
      <c r="E273" s="200"/>
      <c r="F273" s="200"/>
    </row>
    <row r="274">
      <c r="B274" s="200"/>
      <c r="C274" s="200"/>
      <c r="D274" s="200"/>
      <c r="E274" s="200"/>
      <c r="F274" s="200"/>
    </row>
    <row r="275">
      <c r="B275" s="200"/>
      <c r="C275" s="200"/>
      <c r="D275" s="200"/>
      <c r="E275" s="200"/>
      <c r="F275" s="200"/>
    </row>
    <row r="276">
      <c r="B276" s="200"/>
      <c r="C276" s="200"/>
      <c r="D276" s="200"/>
      <c r="E276" s="200"/>
      <c r="F276" s="200"/>
    </row>
    <row r="277">
      <c r="B277" s="200"/>
      <c r="C277" s="200"/>
      <c r="D277" s="200"/>
      <c r="E277" s="200"/>
      <c r="F277" s="200"/>
    </row>
    <row r="278">
      <c r="B278" s="200"/>
      <c r="C278" s="200"/>
      <c r="D278" s="200"/>
      <c r="E278" s="200"/>
      <c r="F278" s="200"/>
    </row>
    <row r="279">
      <c r="B279" s="200"/>
      <c r="C279" s="200"/>
      <c r="D279" s="200"/>
      <c r="E279" s="200"/>
      <c r="F279" s="200"/>
    </row>
    <row r="280">
      <c r="B280" s="200"/>
      <c r="C280" s="200"/>
      <c r="D280" s="200"/>
      <c r="E280" s="200"/>
      <c r="F280" s="200"/>
    </row>
    <row r="281">
      <c r="B281" s="200"/>
      <c r="C281" s="200"/>
      <c r="D281" s="200"/>
      <c r="E281" s="200"/>
      <c r="F281" s="200"/>
    </row>
    <row r="282">
      <c r="B282" s="200"/>
      <c r="C282" s="200"/>
      <c r="D282" s="200"/>
      <c r="E282" s="200"/>
      <c r="F282" s="200"/>
    </row>
    <row r="283">
      <c r="B283" s="200"/>
      <c r="C283" s="200"/>
      <c r="D283" s="200"/>
      <c r="E283" s="200"/>
      <c r="F283" s="200"/>
    </row>
    <row r="284">
      <c r="B284" s="200"/>
      <c r="C284" s="200"/>
      <c r="D284" s="200"/>
      <c r="E284" s="200"/>
      <c r="F284" s="200"/>
    </row>
    <row r="285">
      <c r="B285" s="200"/>
      <c r="C285" s="200"/>
      <c r="D285" s="200"/>
      <c r="E285" s="200"/>
      <c r="F285" s="200"/>
    </row>
    <row r="286">
      <c r="B286" s="200"/>
      <c r="C286" s="200"/>
      <c r="D286" s="200"/>
      <c r="E286" s="200"/>
      <c r="F286" s="200"/>
    </row>
    <row r="287">
      <c r="B287" s="200"/>
      <c r="C287" s="200"/>
      <c r="D287" s="200"/>
      <c r="E287" s="200"/>
      <c r="F287" s="200"/>
    </row>
    <row r="288">
      <c r="B288" s="200"/>
      <c r="C288" s="200"/>
      <c r="D288" s="200"/>
      <c r="E288" s="200"/>
      <c r="F288" s="200"/>
    </row>
    <row r="289">
      <c r="B289" s="200"/>
      <c r="C289" s="200"/>
      <c r="D289" s="200"/>
      <c r="E289" s="200"/>
      <c r="F289" s="200"/>
    </row>
    <row r="290">
      <c r="B290" s="200"/>
      <c r="C290" s="200"/>
      <c r="D290" s="200"/>
      <c r="E290" s="200"/>
      <c r="F290" s="200"/>
    </row>
    <row r="291">
      <c r="B291" s="200"/>
      <c r="C291" s="200"/>
      <c r="D291" s="200"/>
      <c r="E291" s="200"/>
      <c r="F291" s="200"/>
    </row>
    <row r="292">
      <c r="B292" s="200"/>
      <c r="C292" s="200"/>
      <c r="D292" s="200"/>
      <c r="E292" s="200"/>
      <c r="F292" s="200"/>
    </row>
    <row r="293">
      <c r="B293" s="200"/>
      <c r="C293" s="200"/>
      <c r="D293" s="200"/>
      <c r="E293" s="200"/>
      <c r="F293" s="200"/>
    </row>
    <row r="294">
      <c r="B294" s="200"/>
      <c r="C294" s="200"/>
      <c r="D294" s="200"/>
      <c r="E294" s="200"/>
      <c r="F294" s="200"/>
    </row>
    <row r="295">
      <c r="B295" s="200"/>
      <c r="C295" s="200"/>
      <c r="D295" s="200"/>
      <c r="E295" s="200"/>
      <c r="F295" s="200"/>
    </row>
    <row r="296">
      <c r="B296" s="200"/>
      <c r="C296" s="200"/>
      <c r="D296" s="200"/>
      <c r="E296" s="200"/>
      <c r="F296" s="200"/>
    </row>
    <row r="297">
      <c r="B297" s="200"/>
      <c r="C297" s="200"/>
      <c r="D297" s="200"/>
      <c r="E297" s="200"/>
      <c r="F297" s="200"/>
    </row>
    <row r="298">
      <c r="B298" s="200"/>
      <c r="C298" s="200"/>
      <c r="D298" s="200"/>
      <c r="E298" s="200"/>
      <c r="F298" s="200"/>
    </row>
    <row r="299">
      <c r="B299" s="200"/>
      <c r="C299" s="200"/>
      <c r="D299" s="200"/>
      <c r="E299" s="200"/>
      <c r="F299" s="200"/>
    </row>
    <row r="300">
      <c r="B300" s="200"/>
      <c r="C300" s="200"/>
      <c r="D300" s="200"/>
      <c r="E300" s="200"/>
      <c r="F300" s="200"/>
    </row>
    <row r="301">
      <c r="B301" s="200"/>
      <c r="C301" s="200"/>
      <c r="D301" s="200"/>
      <c r="E301" s="200"/>
      <c r="F301" s="200"/>
    </row>
    <row r="302">
      <c r="B302" s="200"/>
      <c r="C302" s="200"/>
      <c r="D302" s="200"/>
      <c r="E302" s="200"/>
      <c r="F302" s="200"/>
    </row>
    <row r="303">
      <c r="B303" s="200"/>
      <c r="C303" s="200"/>
      <c r="D303" s="200"/>
      <c r="E303" s="200"/>
      <c r="F303" s="200"/>
    </row>
    <row r="304">
      <c r="B304" s="200"/>
      <c r="C304" s="200"/>
      <c r="D304" s="200"/>
      <c r="E304" s="200"/>
      <c r="F304" s="200"/>
    </row>
    <row r="305">
      <c r="B305" s="200"/>
      <c r="C305" s="200"/>
      <c r="D305" s="200"/>
      <c r="E305" s="200"/>
      <c r="F305" s="200"/>
    </row>
    <row r="306">
      <c r="B306" s="200"/>
      <c r="C306" s="200"/>
      <c r="D306" s="200"/>
      <c r="E306" s="200"/>
      <c r="F306" s="200"/>
    </row>
    <row r="307">
      <c r="B307" s="200"/>
      <c r="C307" s="200"/>
      <c r="D307" s="200"/>
      <c r="E307" s="200"/>
      <c r="F307" s="200"/>
    </row>
    <row r="308">
      <c r="B308" s="200"/>
      <c r="C308" s="200"/>
      <c r="D308" s="200"/>
      <c r="E308" s="200"/>
      <c r="F308" s="200"/>
    </row>
    <row r="309">
      <c r="B309" s="200"/>
      <c r="C309" s="200"/>
      <c r="D309" s="200"/>
      <c r="E309" s="200"/>
      <c r="F309" s="200"/>
    </row>
    <row r="310">
      <c r="B310" s="200"/>
      <c r="C310" s="200"/>
      <c r="D310" s="200"/>
      <c r="E310" s="200"/>
      <c r="F310" s="200"/>
    </row>
    <row r="311">
      <c r="B311" s="200"/>
      <c r="C311" s="200"/>
      <c r="D311" s="200"/>
      <c r="E311" s="200"/>
      <c r="F311" s="200"/>
    </row>
    <row r="312">
      <c r="B312" s="200"/>
      <c r="C312" s="200"/>
      <c r="D312" s="200"/>
      <c r="E312" s="200"/>
      <c r="F312" s="200"/>
    </row>
    <row r="313">
      <c r="B313" s="200"/>
      <c r="C313" s="200"/>
      <c r="D313" s="200"/>
      <c r="E313" s="200"/>
      <c r="F313" s="200"/>
    </row>
    <row r="314">
      <c r="B314" s="200"/>
      <c r="C314" s="200"/>
      <c r="D314" s="200"/>
      <c r="E314" s="200"/>
      <c r="F314" s="200"/>
    </row>
    <row r="315">
      <c r="B315" s="200"/>
      <c r="C315" s="200"/>
      <c r="D315" s="200"/>
      <c r="E315" s="200"/>
      <c r="F315" s="200"/>
    </row>
    <row r="316">
      <c r="B316" s="200"/>
      <c r="C316" s="200"/>
      <c r="D316" s="200"/>
      <c r="E316" s="200"/>
      <c r="F316" s="200"/>
    </row>
    <row r="317">
      <c r="B317" s="200"/>
      <c r="C317" s="200"/>
      <c r="D317" s="200"/>
      <c r="E317" s="200"/>
      <c r="F317" s="200"/>
    </row>
    <row r="318">
      <c r="B318" s="200"/>
      <c r="C318" s="200"/>
      <c r="D318" s="200"/>
      <c r="E318" s="200"/>
      <c r="F318" s="200"/>
    </row>
    <row r="319">
      <c r="B319" s="200"/>
      <c r="C319" s="200"/>
      <c r="D319" s="200"/>
      <c r="E319" s="200"/>
      <c r="F319" s="200"/>
    </row>
    <row r="320">
      <c r="B320" s="200"/>
      <c r="C320" s="200"/>
      <c r="D320" s="200"/>
      <c r="E320" s="200"/>
      <c r="F320" s="200"/>
    </row>
    <row r="321">
      <c r="B321" s="200"/>
      <c r="C321" s="200"/>
      <c r="D321" s="200"/>
      <c r="E321" s="200"/>
      <c r="F321" s="200"/>
    </row>
    <row r="322">
      <c r="B322" s="200"/>
      <c r="C322" s="200"/>
      <c r="D322" s="200"/>
      <c r="E322" s="200"/>
      <c r="F322" s="200"/>
    </row>
    <row r="323">
      <c r="B323" s="200"/>
      <c r="C323" s="200"/>
      <c r="D323" s="200"/>
      <c r="E323" s="200"/>
      <c r="F323" s="200"/>
    </row>
    <row r="324">
      <c r="B324" s="200"/>
      <c r="C324" s="200"/>
      <c r="D324" s="200"/>
      <c r="E324" s="200"/>
      <c r="F324" s="200"/>
    </row>
    <row r="325">
      <c r="B325" s="200"/>
      <c r="C325" s="200"/>
      <c r="D325" s="200"/>
      <c r="E325" s="200"/>
      <c r="F325" s="200"/>
    </row>
    <row r="326">
      <c r="B326" s="200"/>
      <c r="C326" s="200"/>
      <c r="D326" s="200"/>
      <c r="E326" s="200"/>
      <c r="F326" s="200"/>
    </row>
    <row r="327">
      <c r="B327" s="200"/>
      <c r="C327" s="200"/>
      <c r="D327" s="200"/>
      <c r="E327" s="200"/>
      <c r="F327" s="200"/>
    </row>
    <row r="328">
      <c r="B328" s="200"/>
      <c r="C328" s="200"/>
      <c r="D328" s="200"/>
      <c r="E328" s="200"/>
      <c r="F328" s="200"/>
    </row>
    <row r="329">
      <c r="B329" s="200"/>
      <c r="C329" s="200"/>
      <c r="D329" s="200"/>
      <c r="E329" s="200"/>
      <c r="F329" s="200"/>
    </row>
    <row r="330">
      <c r="B330" s="200"/>
      <c r="C330" s="200"/>
      <c r="D330" s="200"/>
      <c r="E330" s="200"/>
      <c r="F330" s="200"/>
    </row>
    <row r="331">
      <c r="B331" s="200"/>
      <c r="C331" s="200"/>
      <c r="D331" s="200"/>
      <c r="E331" s="200"/>
      <c r="F331" s="200"/>
    </row>
    <row r="332">
      <c r="B332" s="200"/>
      <c r="C332" s="200"/>
      <c r="D332" s="200"/>
      <c r="E332" s="200"/>
      <c r="F332" s="200"/>
    </row>
    <row r="333">
      <c r="B333" s="200"/>
      <c r="C333" s="200"/>
      <c r="D333" s="200"/>
      <c r="E333" s="200"/>
      <c r="F333" s="200"/>
    </row>
    <row r="334">
      <c r="B334" s="200"/>
      <c r="C334" s="200"/>
      <c r="D334" s="200"/>
      <c r="E334" s="200"/>
      <c r="F334" s="200"/>
    </row>
    <row r="335">
      <c r="B335" s="200"/>
      <c r="C335" s="200"/>
      <c r="D335" s="200"/>
      <c r="E335" s="200"/>
      <c r="F335" s="200"/>
    </row>
    <row r="336">
      <c r="B336" s="200"/>
      <c r="C336" s="200"/>
      <c r="D336" s="200"/>
      <c r="E336" s="200"/>
      <c r="F336" s="200"/>
    </row>
    <row r="337">
      <c r="B337" s="200"/>
      <c r="C337" s="200"/>
      <c r="D337" s="200"/>
      <c r="E337" s="200"/>
      <c r="F337" s="200"/>
    </row>
    <row r="338">
      <c r="B338" s="200"/>
      <c r="C338" s="200"/>
      <c r="D338" s="200"/>
      <c r="E338" s="200"/>
      <c r="F338" s="200"/>
    </row>
    <row r="339">
      <c r="B339" s="200"/>
      <c r="C339" s="200"/>
      <c r="D339" s="200"/>
      <c r="E339" s="200"/>
      <c r="F339" s="200"/>
    </row>
    <row r="340">
      <c r="B340" s="200"/>
      <c r="C340" s="200"/>
      <c r="D340" s="200"/>
      <c r="E340" s="200"/>
      <c r="F340" s="200"/>
    </row>
    <row r="341">
      <c r="B341" s="200"/>
      <c r="C341" s="200"/>
      <c r="D341" s="200"/>
      <c r="E341" s="200"/>
      <c r="F341" s="200"/>
    </row>
    <row r="342">
      <c r="B342" s="200"/>
      <c r="C342" s="200"/>
      <c r="D342" s="200"/>
      <c r="E342" s="200"/>
      <c r="F342" s="200"/>
    </row>
    <row r="343">
      <c r="B343" s="200"/>
      <c r="C343" s="200"/>
      <c r="D343" s="200"/>
      <c r="E343" s="200"/>
      <c r="F343" s="200"/>
    </row>
    <row r="344">
      <c r="B344" s="200"/>
      <c r="C344" s="200"/>
      <c r="D344" s="200"/>
      <c r="E344" s="200"/>
      <c r="F344" s="200"/>
    </row>
    <row r="345">
      <c r="B345" s="200"/>
      <c r="C345" s="200"/>
      <c r="D345" s="200"/>
      <c r="E345" s="200"/>
      <c r="F345" s="200"/>
    </row>
    <row r="346">
      <c r="B346" s="200"/>
      <c r="C346" s="200"/>
      <c r="D346" s="200"/>
      <c r="E346" s="200"/>
      <c r="F346" s="200"/>
    </row>
    <row r="347">
      <c r="B347" s="200"/>
      <c r="C347" s="200"/>
      <c r="D347" s="200"/>
      <c r="E347" s="200"/>
      <c r="F347" s="200"/>
    </row>
    <row r="348">
      <c r="B348" s="200"/>
      <c r="C348" s="200"/>
      <c r="D348" s="200"/>
      <c r="E348" s="200"/>
      <c r="F348" s="200"/>
    </row>
    <row r="349">
      <c r="B349" s="200"/>
      <c r="C349" s="200"/>
      <c r="D349" s="200"/>
      <c r="E349" s="200"/>
      <c r="F349" s="200"/>
    </row>
    <row r="350">
      <c r="B350" s="200"/>
      <c r="C350" s="200"/>
      <c r="D350" s="200"/>
      <c r="E350" s="200"/>
      <c r="F350" s="200"/>
    </row>
    <row r="351">
      <c r="B351" s="200"/>
      <c r="C351" s="200"/>
      <c r="D351" s="200"/>
      <c r="E351" s="200"/>
      <c r="F351" s="200"/>
    </row>
    <row r="352">
      <c r="B352" s="200"/>
      <c r="C352" s="200"/>
      <c r="D352" s="200"/>
      <c r="E352" s="200"/>
      <c r="F352" s="200"/>
    </row>
    <row r="353">
      <c r="B353" s="200"/>
      <c r="C353" s="200"/>
      <c r="D353" s="200"/>
      <c r="E353" s="200"/>
      <c r="F353" s="200"/>
    </row>
    <row r="354">
      <c r="B354" s="200"/>
      <c r="C354" s="200"/>
      <c r="D354" s="200"/>
      <c r="E354" s="200"/>
      <c r="F354" s="200"/>
    </row>
    <row r="355">
      <c r="B355" s="200"/>
      <c r="C355" s="200"/>
      <c r="D355" s="200"/>
      <c r="E355" s="200"/>
      <c r="F355" s="200"/>
    </row>
    <row r="356">
      <c r="B356" s="200"/>
      <c r="C356" s="200"/>
      <c r="D356" s="200"/>
      <c r="E356" s="200"/>
      <c r="F356" s="200"/>
    </row>
    <row r="357">
      <c r="B357" s="200"/>
      <c r="C357" s="200"/>
      <c r="D357" s="200"/>
      <c r="E357" s="200"/>
      <c r="F357" s="200"/>
    </row>
    <row r="358">
      <c r="B358" s="200"/>
      <c r="C358" s="200"/>
      <c r="D358" s="200"/>
      <c r="E358" s="200"/>
      <c r="F358" s="200"/>
    </row>
    <row r="359">
      <c r="B359" s="200"/>
      <c r="C359" s="200"/>
      <c r="D359" s="200"/>
      <c r="E359" s="200"/>
      <c r="F359" s="200"/>
    </row>
    <row r="360">
      <c r="B360" s="200"/>
      <c r="C360" s="200"/>
      <c r="D360" s="200"/>
      <c r="E360" s="200"/>
      <c r="F360" s="200"/>
    </row>
    <row r="361">
      <c r="B361" s="200"/>
      <c r="C361" s="200"/>
      <c r="D361" s="200"/>
      <c r="E361" s="200"/>
      <c r="F361" s="200"/>
    </row>
    <row r="362">
      <c r="B362" s="200"/>
      <c r="C362" s="200"/>
      <c r="D362" s="200"/>
      <c r="E362" s="200"/>
      <c r="F362" s="200"/>
    </row>
    <row r="363">
      <c r="B363" s="200"/>
      <c r="C363" s="200"/>
      <c r="D363" s="200"/>
      <c r="E363" s="200"/>
      <c r="F363" s="200"/>
    </row>
    <row r="364">
      <c r="B364" s="200"/>
      <c r="C364" s="200"/>
      <c r="D364" s="200"/>
      <c r="E364" s="200"/>
      <c r="F364" s="200"/>
    </row>
    <row r="365">
      <c r="B365" s="200"/>
      <c r="C365" s="200"/>
      <c r="D365" s="200"/>
      <c r="E365" s="200"/>
      <c r="F365" s="200"/>
    </row>
    <row r="366">
      <c r="B366" s="200"/>
      <c r="C366" s="200"/>
      <c r="D366" s="200"/>
      <c r="E366" s="200"/>
      <c r="F366" s="200"/>
    </row>
    <row r="367">
      <c r="B367" s="200"/>
      <c r="C367" s="200"/>
      <c r="D367" s="200"/>
      <c r="E367" s="200"/>
      <c r="F367" s="200"/>
    </row>
    <row r="368">
      <c r="B368" s="200"/>
      <c r="C368" s="200"/>
      <c r="D368" s="200"/>
      <c r="E368" s="200"/>
      <c r="F368" s="200"/>
    </row>
    <row r="369">
      <c r="B369" s="200"/>
      <c r="C369" s="200"/>
      <c r="D369" s="200"/>
      <c r="E369" s="200"/>
      <c r="F369" s="200"/>
    </row>
    <row r="370">
      <c r="B370" s="200"/>
      <c r="C370" s="200"/>
      <c r="D370" s="200"/>
      <c r="E370" s="200"/>
      <c r="F370" s="200"/>
    </row>
    <row r="371">
      <c r="B371" s="200"/>
      <c r="C371" s="200"/>
      <c r="D371" s="200"/>
      <c r="E371" s="200"/>
      <c r="F371" s="200"/>
    </row>
    <row r="372">
      <c r="B372" s="200"/>
      <c r="C372" s="200"/>
      <c r="D372" s="200"/>
      <c r="E372" s="200"/>
      <c r="F372" s="200"/>
    </row>
    <row r="373">
      <c r="B373" s="200"/>
      <c r="C373" s="200"/>
      <c r="D373" s="200"/>
      <c r="E373" s="200"/>
      <c r="F373" s="200"/>
    </row>
    <row r="374">
      <c r="B374" s="200"/>
      <c r="C374" s="200"/>
      <c r="D374" s="200"/>
      <c r="E374" s="200"/>
      <c r="F374" s="200"/>
    </row>
    <row r="375">
      <c r="B375" s="200"/>
      <c r="C375" s="200"/>
      <c r="D375" s="200"/>
      <c r="E375" s="200"/>
      <c r="F375" s="200"/>
    </row>
    <row r="376">
      <c r="B376" s="200"/>
      <c r="C376" s="200"/>
      <c r="D376" s="200"/>
      <c r="E376" s="200"/>
      <c r="F376" s="200"/>
    </row>
    <row r="377">
      <c r="B377" s="200"/>
      <c r="C377" s="200"/>
      <c r="D377" s="200"/>
      <c r="E377" s="200"/>
      <c r="F377" s="200"/>
    </row>
    <row r="378">
      <c r="B378" s="200"/>
      <c r="C378" s="200"/>
      <c r="D378" s="200"/>
      <c r="E378" s="200"/>
      <c r="F378" s="200"/>
    </row>
    <row r="379">
      <c r="B379" s="200"/>
      <c r="C379" s="200"/>
      <c r="D379" s="200"/>
      <c r="E379" s="200"/>
      <c r="F379" s="200"/>
    </row>
    <row r="380">
      <c r="B380" s="200"/>
      <c r="C380" s="200"/>
      <c r="D380" s="200"/>
      <c r="E380" s="200"/>
      <c r="F380" s="200"/>
    </row>
    <row r="381">
      <c r="B381" s="200"/>
      <c r="C381" s="200"/>
      <c r="D381" s="200"/>
      <c r="E381" s="200"/>
      <c r="F381" s="200"/>
    </row>
    <row r="382">
      <c r="B382" s="200"/>
      <c r="C382" s="200"/>
      <c r="D382" s="200"/>
      <c r="E382" s="200"/>
      <c r="F382" s="200"/>
    </row>
    <row r="383">
      <c r="B383" s="200"/>
      <c r="C383" s="200"/>
      <c r="D383" s="200"/>
      <c r="E383" s="200"/>
      <c r="F383" s="200"/>
    </row>
    <row r="384">
      <c r="B384" s="200"/>
      <c r="C384" s="200"/>
      <c r="D384" s="200"/>
      <c r="E384" s="200"/>
      <c r="F384" s="200"/>
    </row>
    <row r="385">
      <c r="B385" s="200"/>
      <c r="C385" s="200"/>
      <c r="D385" s="200"/>
      <c r="E385" s="200"/>
      <c r="F385" s="200"/>
    </row>
    <row r="386">
      <c r="B386" s="200"/>
      <c r="C386" s="200"/>
      <c r="D386" s="200"/>
      <c r="E386" s="200"/>
      <c r="F386" s="200"/>
    </row>
    <row r="387">
      <c r="B387" s="200"/>
      <c r="C387" s="200"/>
      <c r="D387" s="200"/>
      <c r="E387" s="200"/>
      <c r="F387" s="200"/>
    </row>
    <row r="388">
      <c r="B388" s="200"/>
      <c r="C388" s="200"/>
      <c r="D388" s="200"/>
      <c r="E388" s="200"/>
      <c r="F388" s="200"/>
    </row>
    <row r="389">
      <c r="B389" s="200"/>
      <c r="C389" s="200"/>
      <c r="D389" s="200"/>
      <c r="E389" s="200"/>
      <c r="F389" s="200"/>
    </row>
    <row r="390">
      <c r="B390" s="200"/>
      <c r="C390" s="200"/>
      <c r="D390" s="200"/>
      <c r="E390" s="200"/>
      <c r="F390" s="200"/>
    </row>
    <row r="391">
      <c r="B391" s="200"/>
      <c r="C391" s="200"/>
      <c r="D391" s="200"/>
      <c r="E391" s="200"/>
      <c r="F391" s="200"/>
    </row>
    <row r="392">
      <c r="B392" s="200"/>
      <c r="C392" s="200"/>
      <c r="D392" s="200"/>
      <c r="E392" s="200"/>
      <c r="F392" s="200"/>
    </row>
    <row r="393">
      <c r="B393" s="200"/>
      <c r="C393" s="200"/>
      <c r="D393" s="200"/>
      <c r="E393" s="200"/>
      <c r="F393" s="200"/>
    </row>
    <row r="394">
      <c r="B394" s="200"/>
      <c r="C394" s="200"/>
      <c r="D394" s="200"/>
      <c r="E394" s="200"/>
      <c r="F394" s="200"/>
    </row>
    <row r="395">
      <c r="B395" s="200"/>
      <c r="C395" s="200"/>
      <c r="D395" s="200"/>
      <c r="E395" s="200"/>
      <c r="F395" s="200"/>
    </row>
    <row r="396">
      <c r="B396" s="200"/>
      <c r="C396" s="200"/>
      <c r="D396" s="200"/>
      <c r="E396" s="200"/>
      <c r="F396" s="200"/>
    </row>
    <row r="397">
      <c r="B397" s="200"/>
      <c r="C397" s="200"/>
      <c r="D397" s="200"/>
      <c r="E397" s="200"/>
      <c r="F397" s="200"/>
    </row>
    <row r="398">
      <c r="B398" s="200"/>
      <c r="C398" s="200"/>
      <c r="D398" s="200"/>
      <c r="E398" s="200"/>
      <c r="F398" s="200"/>
    </row>
    <row r="399">
      <c r="B399" s="200"/>
      <c r="C399" s="200"/>
      <c r="D399" s="200"/>
      <c r="E399" s="200"/>
      <c r="F399" s="200"/>
    </row>
    <row r="400">
      <c r="B400" s="200"/>
      <c r="C400" s="200"/>
      <c r="D400" s="200"/>
      <c r="E400" s="200"/>
      <c r="F400" s="200"/>
    </row>
    <row r="401">
      <c r="B401" s="200"/>
      <c r="C401" s="200"/>
      <c r="D401" s="200"/>
      <c r="E401" s="200"/>
      <c r="F401" s="200"/>
    </row>
    <row r="402">
      <c r="B402" s="200"/>
      <c r="C402" s="200"/>
      <c r="D402" s="200"/>
      <c r="E402" s="200"/>
      <c r="F402" s="200"/>
    </row>
    <row r="403">
      <c r="B403" s="200"/>
      <c r="C403" s="200"/>
      <c r="D403" s="200"/>
      <c r="E403" s="200"/>
      <c r="F403" s="200"/>
    </row>
    <row r="404">
      <c r="B404" s="200"/>
      <c r="C404" s="200"/>
      <c r="D404" s="200"/>
      <c r="E404" s="200"/>
      <c r="F404" s="200"/>
    </row>
    <row r="405">
      <c r="B405" s="200"/>
      <c r="C405" s="200"/>
      <c r="D405" s="200"/>
      <c r="E405" s="200"/>
      <c r="F405" s="200"/>
    </row>
    <row r="406">
      <c r="B406" s="200"/>
      <c r="C406" s="200"/>
      <c r="D406" s="200"/>
      <c r="E406" s="200"/>
      <c r="F406" s="200"/>
    </row>
    <row r="407">
      <c r="B407" s="200"/>
      <c r="C407" s="200"/>
      <c r="D407" s="200"/>
      <c r="E407" s="200"/>
      <c r="F407" s="200"/>
    </row>
    <row r="408">
      <c r="B408" s="200"/>
      <c r="C408" s="200"/>
      <c r="D408" s="200"/>
      <c r="E408" s="200"/>
      <c r="F408" s="200"/>
    </row>
    <row r="409">
      <c r="B409" s="200"/>
      <c r="C409" s="200"/>
      <c r="D409" s="200"/>
      <c r="E409" s="200"/>
      <c r="F409" s="200"/>
    </row>
    <row r="410">
      <c r="B410" s="200"/>
      <c r="C410" s="200"/>
      <c r="D410" s="200"/>
      <c r="E410" s="200"/>
      <c r="F410" s="200"/>
    </row>
    <row r="411">
      <c r="B411" s="200"/>
      <c r="C411" s="200"/>
      <c r="D411" s="200"/>
      <c r="E411" s="200"/>
      <c r="F411" s="200"/>
    </row>
    <row r="412">
      <c r="B412" s="200"/>
      <c r="C412" s="200"/>
      <c r="D412" s="200"/>
      <c r="E412" s="200"/>
      <c r="F412" s="200"/>
    </row>
    <row r="413">
      <c r="B413" s="200"/>
      <c r="C413" s="200"/>
      <c r="D413" s="200"/>
      <c r="E413" s="200"/>
      <c r="F413" s="200"/>
    </row>
    <row r="414">
      <c r="B414" s="200"/>
      <c r="C414" s="200"/>
      <c r="D414" s="200"/>
      <c r="E414" s="200"/>
      <c r="F414" s="200"/>
    </row>
    <row r="415">
      <c r="B415" s="200"/>
      <c r="C415" s="200"/>
      <c r="D415" s="200"/>
      <c r="E415" s="200"/>
      <c r="F415" s="200"/>
    </row>
    <row r="416">
      <c r="B416" s="200"/>
      <c r="C416" s="200"/>
      <c r="D416" s="200"/>
      <c r="E416" s="200"/>
      <c r="F416" s="200"/>
    </row>
    <row r="417">
      <c r="B417" s="200"/>
      <c r="C417" s="200"/>
      <c r="D417" s="200"/>
      <c r="E417" s="200"/>
      <c r="F417" s="200"/>
    </row>
    <row r="418">
      <c r="B418" s="200"/>
      <c r="C418" s="200"/>
      <c r="D418" s="200"/>
      <c r="E418" s="200"/>
      <c r="F418" s="200"/>
    </row>
    <row r="419">
      <c r="B419" s="200"/>
      <c r="C419" s="200"/>
      <c r="D419" s="200"/>
      <c r="E419" s="200"/>
      <c r="F419" s="200"/>
    </row>
    <row r="420">
      <c r="B420" s="200"/>
      <c r="C420" s="200"/>
      <c r="D420" s="200"/>
      <c r="E420" s="200"/>
      <c r="F420" s="200"/>
    </row>
    <row r="421">
      <c r="B421" s="200"/>
      <c r="C421" s="200"/>
      <c r="D421" s="200"/>
      <c r="E421" s="200"/>
      <c r="F421" s="200"/>
    </row>
    <row r="422">
      <c r="B422" s="200"/>
      <c r="C422" s="200"/>
      <c r="D422" s="200"/>
      <c r="E422" s="200"/>
      <c r="F422" s="200"/>
    </row>
    <row r="423">
      <c r="B423" s="200"/>
      <c r="C423" s="200"/>
      <c r="D423" s="200"/>
      <c r="E423" s="200"/>
      <c r="F423" s="200"/>
    </row>
    <row r="424">
      <c r="B424" s="200"/>
      <c r="C424" s="200"/>
      <c r="D424" s="200"/>
      <c r="E424" s="200"/>
      <c r="F424" s="200"/>
    </row>
    <row r="425">
      <c r="B425" s="200"/>
      <c r="C425" s="200"/>
      <c r="D425" s="200"/>
      <c r="E425" s="200"/>
      <c r="F425" s="200"/>
    </row>
    <row r="426">
      <c r="B426" s="200"/>
      <c r="C426" s="200"/>
      <c r="D426" s="200"/>
      <c r="E426" s="200"/>
      <c r="F426" s="200"/>
    </row>
    <row r="427">
      <c r="B427" s="200"/>
      <c r="C427" s="200"/>
      <c r="D427" s="200"/>
      <c r="E427" s="200"/>
      <c r="F427" s="200"/>
    </row>
    <row r="428">
      <c r="B428" s="200"/>
      <c r="C428" s="200"/>
      <c r="D428" s="200"/>
      <c r="E428" s="200"/>
      <c r="F428" s="200"/>
    </row>
    <row r="429">
      <c r="B429" s="200"/>
      <c r="C429" s="200"/>
      <c r="D429" s="200"/>
      <c r="E429" s="200"/>
      <c r="F429" s="200"/>
    </row>
    <row r="430">
      <c r="B430" s="200"/>
      <c r="C430" s="200"/>
      <c r="D430" s="200"/>
      <c r="E430" s="200"/>
      <c r="F430" s="200"/>
    </row>
    <row r="431">
      <c r="B431" s="200"/>
      <c r="C431" s="200"/>
      <c r="D431" s="200"/>
      <c r="E431" s="200"/>
      <c r="F431" s="200"/>
    </row>
    <row r="432">
      <c r="B432" s="200"/>
      <c r="C432" s="200"/>
      <c r="D432" s="200"/>
      <c r="E432" s="200"/>
      <c r="F432" s="200"/>
    </row>
    <row r="433">
      <c r="B433" s="200"/>
      <c r="C433" s="200"/>
      <c r="D433" s="200"/>
      <c r="E433" s="200"/>
      <c r="F433" s="200"/>
    </row>
    <row r="434">
      <c r="B434" s="200"/>
      <c r="C434" s="200"/>
      <c r="D434" s="200"/>
      <c r="E434" s="200"/>
      <c r="F434" s="200"/>
    </row>
    <row r="435">
      <c r="B435" s="200"/>
      <c r="C435" s="200"/>
      <c r="D435" s="200"/>
      <c r="E435" s="200"/>
      <c r="F435" s="200"/>
    </row>
    <row r="436">
      <c r="B436" s="200"/>
      <c r="C436" s="200"/>
      <c r="D436" s="200"/>
      <c r="E436" s="200"/>
      <c r="F436" s="200"/>
    </row>
    <row r="437">
      <c r="B437" s="200"/>
      <c r="C437" s="200"/>
      <c r="D437" s="200"/>
      <c r="E437" s="200"/>
      <c r="F437" s="200"/>
    </row>
    <row r="438">
      <c r="B438" s="200"/>
      <c r="C438" s="200"/>
      <c r="D438" s="200"/>
      <c r="E438" s="200"/>
      <c r="F438" s="200"/>
    </row>
    <row r="439">
      <c r="B439" s="200"/>
      <c r="C439" s="200"/>
      <c r="D439" s="200"/>
      <c r="E439" s="200"/>
      <c r="F439" s="200"/>
    </row>
    <row r="440">
      <c r="B440" s="200"/>
      <c r="C440" s="200"/>
      <c r="D440" s="200"/>
      <c r="E440" s="200"/>
      <c r="F440" s="200"/>
    </row>
    <row r="441">
      <c r="B441" s="200"/>
      <c r="C441" s="200"/>
      <c r="D441" s="200"/>
      <c r="E441" s="200"/>
      <c r="F441" s="200"/>
    </row>
    <row r="442">
      <c r="B442" s="200"/>
      <c r="C442" s="200"/>
      <c r="D442" s="200"/>
      <c r="E442" s="200"/>
      <c r="F442" s="200"/>
    </row>
    <row r="443">
      <c r="B443" s="200"/>
      <c r="C443" s="200"/>
      <c r="D443" s="200"/>
      <c r="E443" s="200"/>
      <c r="F443" s="200"/>
    </row>
    <row r="444">
      <c r="B444" s="200"/>
      <c r="C444" s="200"/>
      <c r="D444" s="200"/>
      <c r="E444" s="200"/>
      <c r="F444" s="200"/>
    </row>
    <row r="445">
      <c r="B445" s="200"/>
      <c r="C445" s="200"/>
      <c r="D445" s="200"/>
      <c r="E445" s="200"/>
      <c r="F445" s="200"/>
    </row>
    <row r="446">
      <c r="B446" s="200"/>
      <c r="C446" s="200"/>
      <c r="D446" s="200"/>
      <c r="E446" s="200"/>
      <c r="F446" s="200"/>
    </row>
    <row r="447">
      <c r="B447" s="200"/>
      <c r="C447" s="200"/>
      <c r="D447" s="200"/>
      <c r="E447" s="200"/>
      <c r="F447" s="200"/>
    </row>
    <row r="448">
      <c r="B448" s="200"/>
      <c r="C448" s="200"/>
      <c r="D448" s="200"/>
      <c r="E448" s="200"/>
      <c r="F448" s="200"/>
    </row>
    <row r="449">
      <c r="B449" s="200"/>
      <c r="C449" s="200"/>
      <c r="D449" s="200"/>
      <c r="E449" s="200"/>
      <c r="F449" s="200"/>
    </row>
    <row r="450">
      <c r="B450" s="200"/>
      <c r="C450" s="200"/>
      <c r="D450" s="200"/>
      <c r="E450" s="200"/>
      <c r="F450" s="200"/>
    </row>
    <row r="451">
      <c r="B451" s="200"/>
      <c r="C451" s="200"/>
      <c r="D451" s="200"/>
      <c r="E451" s="200"/>
      <c r="F451" s="200"/>
    </row>
    <row r="452">
      <c r="B452" s="200"/>
      <c r="C452" s="200"/>
      <c r="D452" s="200"/>
      <c r="E452" s="200"/>
      <c r="F452" s="200"/>
    </row>
    <row r="453">
      <c r="B453" s="200"/>
      <c r="C453" s="200"/>
      <c r="D453" s="200"/>
      <c r="E453" s="200"/>
      <c r="F453" s="200"/>
    </row>
    <row r="454">
      <c r="B454" s="200"/>
      <c r="C454" s="200"/>
      <c r="D454" s="200"/>
      <c r="E454" s="200"/>
      <c r="F454" s="200"/>
    </row>
    <row r="455">
      <c r="B455" s="200"/>
      <c r="C455" s="200"/>
      <c r="D455" s="200"/>
      <c r="E455" s="200"/>
      <c r="F455" s="200"/>
    </row>
    <row r="456">
      <c r="B456" s="200"/>
      <c r="C456" s="200"/>
      <c r="D456" s="200"/>
      <c r="E456" s="200"/>
      <c r="F456" s="200"/>
    </row>
    <row r="457">
      <c r="B457" s="200"/>
      <c r="C457" s="200"/>
      <c r="D457" s="200"/>
      <c r="E457" s="200"/>
      <c r="F457" s="200"/>
    </row>
    <row r="458">
      <c r="B458" s="200"/>
      <c r="C458" s="200"/>
      <c r="D458" s="200"/>
      <c r="E458" s="200"/>
      <c r="F458" s="200"/>
    </row>
    <row r="459">
      <c r="B459" s="200"/>
      <c r="C459" s="200"/>
      <c r="D459" s="200"/>
      <c r="E459" s="200"/>
      <c r="F459" s="200"/>
    </row>
    <row r="460">
      <c r="B460" s="200"/>
      <c r="C460" s="200"/>
      <c r="D460" s="200"/>
      <c r="E460" s="200"/>
      <c r="F460" s="200"/>
    </row>
    <row r="461">
      <c r="B461" s="200"/>
      <c r="C461" s="200"/>
      <c r="D461" s="200"/>
      <c r="E461" s="200"/>
      <c r="F461" s="200"/>
    </row>
    <row r="462">
      <c r="B462" s="200"/>
      <c r="C462" s="200"/>
      <c r="D462" s="200"/>
      <c r="E462" s="200"/>
      <c r="F462" s="200"/>
    </row>
    <row r="463">
      <c r="B463" s="200"/>
      <c r="C463" s="200"/>
      <c r="D463" s="200"/>
      <c r="E463" s="200"/>
      <c r="F463" s="200"/>
    </row>
    <row r="464">
      <c r="B464" s="200"/>
      <c r="C464" s="200"/>
      <c r="D464" s="200"/>
      <c r="E464" s="200"/>
      <c r="F464" s="200"/>
    </row>
    <row r="465">
      <c r="B465" s="200"/>
      <c r="C465" s="200"/>
      <c r="D465" s="200"/>
      <c r="E465" s="200"/>
      <c r="F465" s="200"/>
    </row>
    <row r="466">
      <c r="B466" s="200"/>
      <c r="C466" s="200"/>
      <c r="D466" s="200"/>
      <c r="E466" s="200"/>
      <c r="F466" s="200"/>
    </row>
    <row r="467">
      <c r="B467" s="200"/>
      <c r="C467" s="200"/>
      <c r="D467" s="200"/>
      <c r="E467" s="200"/>
      <c r="F467" s="200"/>
    </row>
    <row r="468">
      <c r="B468" s="200"/>
      <c r="C468" s="200"/>
      <c r="D468" s="200"/>
      <c r="E468" s="200"/>
      <c r="F468" s="200"/>
    </row>
    <row r="469">
      <c r="B469" s="200"/>
      <c r="C469" s="200"/>
      <c r="D469" s="200"/>
      <c r="E469" s="200"/>
      <c r="F469" s="200"/>
    </row>
    <row r="470">
      <c r="B470" s="200"/>
      <c r="C470" s="200"/>
      <c r="D470" s="200"/>
      <c r="E470" s="200"/>
      <c r="F470" s="200"/>
    </row>
    <row r="471">
      <c r="B471" s="200"/>
      <c r="C471" s="200"/>
      <c r="D471" s="200"/>
      <c r="E471" s="200"/>
      <c r="F471" s="200"/>
    </row>
    <row r="472">
      <c r="B472" s="200"/>
      <c r="C472" s="200"/>
      <c r="D472" s="200"/>
      <c r="E472" s="200"/>
      <c r="F472" s="200"/>
    </row>
    <row r="473">
      <c r="B473" s="200"/>
      <c r="C473" s="200"/>
      <c r="D473" s="200"/>
      <c r="E473" s="200"/>
      <c r="F473" s="200"/>
    </row>
    <row r="474">
      <c r="B474" s="200"/>
      <c r="C474" s="200"/>
      <c r="D474" s="200"/>
      <c r="E474" s="200"/>
      <c r="F474" s="200"/>
    </row>
    <row r="475">
      <c r="B475" s="200"/>
      <c r="C475" s="200"/>
      <c r="D475" s="200"/>
      <c r="E475" s="200"/>
      <c r="F475" s="200"/>
    </row>
    <row r="476">
      <c r="B476" s="200"/>
      <c r="C476" s="200"/>
      <c r="D476" s="200"/>
      <c r="E476" s="200"/>
      <c r="F476" s="200"/>
    </row>
    <row r="477">
      <c r="B477" s="200"/>
      <c r="C477" s="200"/>
      <c r="D477" s="200"/>
      <c r="E477" s="200"/>
      <c r="F477" s="200"/>
    </row>
    <row r="478">
      <c r="B478" s="200"/>
      <c r="C478" s="200"/>
      <c r="D478" s="200"/>
      <c r="E478" s="200"/>
      <c r="F478" s="200"/>
    </row>
    <row r="479">
      <c r="B479" s="200"/>
      <c r="C479" s="200"/>
      <c r="D479" s="200"/>
      <c r="E479" s="200"/>
      <c r="F479" s="200"/>
    </row>
    <row r="480">
      <c r="B480" s="200"/>
      <c r="C480" s="200"/>
      <c r="D480" s="200"/>
      <c r="E480" s="200"/>
      <c r="F480" s="200"/>
    </row>
    <row r="481">
      <c r="B481" s="200"/>
      <c r="C481" s="200"/>
      <c r="D481" s="200"/>
      <c r="E481" s="200"/>
      <c r="F481" s="200"/>
    </row>
    <row r="482">
      <c r="B482" s="200"/>
      <c r="C482" s="200"/>
      <c r="D482" s="200"/>
      <c r="E482" s="200"/>
      <c r="F482" s="200"/>
    </row>
    <row r="483">
      <c r="B483" s="200"/>
      <c r="C483" s="200"/>
      <c r="D483" s="200"/>
      <c r="E483" s="200"/>
      <c r="F483" s="200"/>
    </row>
    <row r="484">
      <c r="B484" s="200"/>
      <c r="C484" s="200"/>
      <c r="D484" s="200"/>
      <c r="E484" s="200"/>
      <c r="F484" s="200"/>
    </row>
    <row r="485">
      <c r="B485" s="200"/>
      <c r="C485" s="200"/>
      <c r="D485" s="200"/>
      <c r="E485" s="200"/>
      <c r="F485" s="200"/>
    </row>
    <row r="486">
      <c r="B486" s="200"/>
      <c r="C486" s="200"/>
      <c r="D486" s="200"/>
      <c r="E486" s="200"/>
      <c r="F486" s="200"/>
    </row>
    <row r="487">
      <c r="B487" s="200"/>
      <c r="C487" s="200"/>
      <c r="D487" s="200"/>
      <c r="E487" s="200"/>
      <c r="F487" s="200"/>
    </row>
    <row r="488">
      <c r="B488" s="200"/>
      <c r="C488" s="200"/>
      <c r="D488" s="200"/>
      <c r="E488" s="200"/>
      <c r="F488" s="200"/>
    </row>
    <row r="489">
      <c r="B489" s="200"/>
      <c r="C489" s="200"/>
      <c r="D489" s="200"/>
      <c r="E489" s="200"/>
      <c r="F489" s="200"/>
    </row>
    <row r="490">
      <c r="B490" s="200"/>
      <c r="C490" s="200"/>
      <c r="D490" s="200"/>
      <c r="E490" s="200"/>
      <c r="F490" s="200"/>
    </row>
    <row r="491">
      <c r="B491" s="200"/>
      <c r="C491" s="200"/>
      <c r="D491" s="200"/>
      <c r="E491" s="200"/>
      <c r="F491" s="200"/>
    </row>
    <row r="492">
      <c r="B492" s="200"/>
      <c r="C492" s="200"/>
      <c r="D492" s="200"/>
      <c r="E492" s="200"/>
      <c r="F492" s="200"/>
    </row>
    <row r="493">
      <c r="B493" s="200"/>
      <c r="C493" s="200"/>
      <c r="D493" s="200"/>
      <c r="E493" s="200"/>
      <c r="F493" s="200"/>
    </row>
    <row r="494">
      <c r="B494" s="200"/>
      <c r="C494" s="200"/>
      <c r="D494" s="200"/>
      <c r="E494" s="200"/>
      <c r="F494" s="200"/>
    </row>
    <row r="495">
      <c r="B495" s="200"/>
      <c r="C495" s="200"/>
      <c r="D495" s="200"/>
      <c r="E495" s="200"/>
      <c r="F495" s="200"/>
    </row>
    <row r="496">
      <c r="B496" s="200"/>
      <c r="C496" s="200"/>
      <c r="D496" s="200"/>
      <c r="E496" s="200"/>
      <c r="F496" s="200"/>
    </row>
    <row r="497">
      <c r="B497" s="200"/>
      <c r="C497" s="200"/>
      <c r="D497" s="200"/>
      <c r="E497" s="200"/>
      <c r="F497" s="200"/>
    </row>
    <row r="498">
      <c r="B498" s="200"/>
      <c r="C498" s="200"/>
      <c r="D498" s="200"/>
      <c r="E498" s="200"/>
      <c r="F498" s="200"/>
    </row>
    <row r="499">
      <c r="B499" s="200"/>
      <c r="C499" s="200"/>
      <c r="D499" s="200"/>
      <c r="E499" s="200"/>
      <c r="F499" s="200"/>
    </row>
    <row r="500">
      <c r="B500" s="200"/>
      <c r="C500" s="200"/>
      <c r="D500" s="200"/>
      <c r="E500" s="200"/>
      <c r="F500" s="200"/>
    </row>
    <row r="501">
      <c r="B501" s="200"/>
      <c r="C501" s="200"/>
      <c r="D501" s="200"/>
      <c r="E501" s="200"/>
      <c r="F501" s="200"/>
    </row>
    <row r="502">
      <c r="B502" s="200"/>
      <c r="C502" s="200"/>
      <c r="D502" s="200"/>
      <c r="E502" s="200"/>
      <c r="F502" s="200"/>
    </row>
    <row r="503">
      <c r="B503" s="200"/>
      <c r="C503" s="200"/>
      <c r="D503" s="200"/>
      <c r="E503" s="200"/>
      <c r="F503" s="200"/>
    </row>
    <row r="504">
      <c r="B504" s="200"/>
      <c r="C504" s="200"/>
      <c r="D504" s="200"/>
      <c r="E504" s="200"/>
      <c r="F504" s="200"/>
    </row>
    <row r="505">
      <c r="B505" s="200"/>
      <c r="C505" s="200"/>
      <c r="D505" s="200"/>
      <c r="E505" s="200"/>
      <c r="F505" s="200"/>
    </row>
    <row r="506">
      <c r="B506" s="200"/>
      <c r="C506" s="200"/>
      <c r="D506" s="200"/>
      <c r="E506" s="200"/>
      <c r="F506" s="200"/>
    </row>
    <row r="507">
      <c r="B507" s="200"/>
      <c r="C507" s="200"/>
      <c r="D507" s="200"/>
      <c r="E507" s="200"/>
      <c r="F507" s="200"/>
    </row>
    <row r="508">
      <c r="B508" s="200"/>
      <c r="C508" s="200"/>
      <c r="D508" s="200"/>
      <c r="E508" s="200"/>
      <c r="F508" s="200"/>
    </row>
    <row r="509">
      <c r="B509" s="200"/>
      <c r="C509" s="200"/>
      <c r="D509" s="200"/>
      <c r="E509" s="200"/>
      <c r="F509" s="200"/>
    </row>
    <row r="510">
      <c r="B510" s="200"/>
      <c r="C510" s="200"/>
      <c r="D510" s="200"/>
      <c r="E510" s="200"/>
      <c r="F510" s="200"/>
    </row>
    <row r="511">
      <c r="B511" s="200"/>
      <c r="C511" s="200"/>
      <c r="D511" s="200"/>
      <c r="E511" s="200"/>
      <c r="F511" s="200"/>
    </row>
    <row r="512">
      <c r="B512" s="200"/>
      <c r="C512" s="200"/>
      <c r="D512" s="200"/>
      <c r="E512" s="200"/>
      <c r="F512" s="200"/>
    </row>
    <row r="513">
      <c r="B513" s="200"/>
      <c r="C513" s="200"/>
      <c r="D513" s="200"/>
      <c r="E513" s="200"/>
      <c r="F513" s="200"/>
    </row>
    <row r="514">
      <c r="B514" s="200"/>
      <c r="C514" s="200"/>
      <c r="D514" s="200"/>
      <c r="E514" s="200"/>
      <c r="F514" s="200"/>
    </row>
    <row r="515">
      <c r="B515" s="200"/>
      <c r="C515" s="200"/>
      <c r="D515" s="200"/>
      <c r="E515" s="200"/>
      <c r="F515" s="200"/>
    </row>
    <row r="516">
      <c r="B516" s="200"/>
      <c r="C516" s="200"/>
      <c r="D516" s="200"/>
      <c r="E516" s="200"/>
      <c r="F516" s="200"/>
    </row>
    <row r="517">
      <c r="B517" s="200"/>
      <c r="C517" s="200"/>
      <c r="D517" s="200"/>
      <c r="E517" s="200"/>
      <c r="F517" s="200"/>
    </row>
    <row r="518">
      <c r="B518" s="200"/>
      <c r="C518" s="200"/>
      <c r="D518" s="200"/>
      <c r="E518" s="200"/>
      <c r="F518" s="200"/>
    </row>
    <row r="519">
      <c r="B519" s="200"/>
      <c r="C519" s="200"/>
      <c r="D519" s="200"/>
      <c r="E519" s="200"/>
      <c r="F519" s="200"/>
    </row>
    <row r="520">
      <c r="B520" s="200"/>
      <c r="C520" s="200"/>
      <c r="D520" s="200"/>
      <c r="E520" s="200"/>
      <c r="F520" s="200"/>
    </row>
    <row r="521">
      <c r="B521" s="200"/>
      <c r="C521" s="200"/>
      <c r="D521" s="200"/>
      <c r="E521" s="200"/>
      <c r="F521" s="200"/>
    </row>
    <row r="522">
      <c r="B522" s="200"/>
      <c r="C522" s="200"/>
      <c r="D522" s="200"/>
      <c r="E522" s="200"/>
      <c r="F522" s="200"/>
    </row>
    <row r="523">
      <c r="B523" s="200"/>
      <c r="C523" s="200"/>
      <c r="D523" s="200"/>
      <c r="E523" s="200"/>
      <c r="F523" s="200"/>
    </row>
    <row r="524">
      <c r="B524" s="200"/>
      <c r="C524" s="200"/>
      <c r="D524" s="200"/>
      <c r="E524" s="200"/>
      <c r="F524" s="200"/>
    </row>
    <row r="525">
      <c r="B525" s="200"/>
      <c r="C525" s="200"/>
      <c r="D525" s="200"/>
      <c r="E525" s="200"/>
      <c r="F525" s="200"/>
    </row>
    <row r="526">
      <c r="B526" s="200"/>
      <c r="C526" s="200"/>
      <c r="D526" s="200"/>
      <c r="E526" s="200"/>
      <c r="F526" s="200"/>
    </row>
    <row r="527">
      <c r="B527" s="200"/>
      <c r="C527" s="200"/>
      <c r="D527" s="200"/>
      <c r="E527" s="200"/>
      <c r="F527" s="200"/>
    </row>
    <row r="528">
      <c r="B528" s="200"/>
      <c r="C528" s="200"/>
      <c r="D528" s="200"/>
      <c r="E528" s="200"/>
      <c r="F528" s="200"/>
    </row>
    <row r="529">
      <c r="B529" s="200"/>
      <c r="C529" s="200"/>
      <c r="D529" s="200"/>
      <c r="E529" s="200"/>
      <c r="F529" s="200"/>
    </row>
    <row r="530">
      <c r="B530" s="200"/>
      <c r="C530" s="200"/>
      <c r="D530" s="200"/>
      <c r="E530" s="200"/>
      <c r="F530" s="200"/>
    </row>
    <row r="531">
      <c r="B531" s="200"/>
      <c r="C531" s="200"/>
      <c r="D531" s="200"/>
      <c r="E531" s="200"/>
      <c r="F531" s="200"/>
    </row>
    <row r="532">
      <c r="B532" s="200"/>
      <c r="C532" s="200"/>
      <c r="D532" s="200"/>
      <c r="E532" s="200"/>
      <c r="F532" s="200"/>
    </row>
    <row r="533">
      <c r="B533" s="200"/>
      <c r="C533" s="200"/>
      <c r="D533" s="200"/>
      <c r="E533" s="200"/>
      <c r="F533" s="200"/>
    </row>
    <row r="534">
      <c r="B534" s="200"/>
      <c r="C534" s="200"/>
      <c r="D534" s="200"/>
      <c r="E534" s="200"/>
      <c r="F534" s="200"/>
    </row>
    <row r="535">
      <c r="B535" s="200"/>
      <c r="C535" s="200"/>
      <c r="D535" s="200"/>
      <c r="E535" s="200"/>
      <c r="F535" s="200"/>
    </row>
    <row r="536">
      <c r="B536" s="200"/>
      <c r="C536" s="200"/>
      <c r="D536" s="200"/>
      <c r="E536" s="200"/>
      <c r="F536" s="200"/>
    </row>
    <row r="537">
      <c r="B537" s="200"/>
      <c r="C537" s="200"/>
      <c r="D537" s="200"/>
      <c r="E537" s="200"/>
      <c r="F537" s="200"/>
    </row>
    <row r="538">
      <c r="B538" s="200"/>
      <c r="C538" s="200"/>
      <c r="D538" s="200"/>
      <c r="E538" s="200"/>
      <c r="F538" s="200"/>
    </row>
    <row r="539">
      <c r="B539" s="200"/>
      <c r="C539" s="200"/>
      <c r="D539" s="200"/>
      <c r="E539" s="200"/>
      <c r="F539" s="200"/>
    </row>
    <row r="540">
      <c r="B540" s="200"/>
      <c r="C540" s="200"/>
      <c r="D540" s="200"/>
      <c r="E540" s="200"/>
      <c r="F540" s="200"/>
    </row>
    <row r="541">
      <c r="B541" s="200"/>
      <c r="C541" s="200"/>
      <c r="D541" s="200"/>
      <c r="E541" s="200"/>
      <c r="F541" s="200"/>
    </row>
    <row r="542">
      <c r="B542" s="200"/>
      <c r="C542" s="200"/>
      <c r="D542" s="200"/>
      <c r="E542" s="200"/>
      <c r="F542" s="200"/>
    </row>
    <row r="543">
      <c r="B543" s="200"/>
      <c r="C543" s="200"/>
      <c r="D543" s="200"/>
      <c r="E543" s="200"/>
      <c r="F543" s="200"/>
    </row>
    <row r="544">
      <c r="B544" s="200"/>
      <c r="C544" s="200"/>
      <c r="D544" s="200"/>
      <c r="E544" s="200"/>
      <c r="F544" s="200"/>
    </row>
    <row r="545">
      <c r="B545" s="200"/>
      <c r="C545" s="200"/>
      <c r="D545" s="200"/>
      <c r="E545" s="200"/>
      <c r="F545" s="200"/>
    </row>
    <row r="546">
      <c r="B546" s="200"/>
      <c r="C546" s="200"/>
      <c r="D546" s="200"/>
      <c r="E546" s="200"/>
      <c r="F546" s="200"/>
    </row>
    <row r="547">
      <c r="B547" s="200"/>
      <c r="C547" s="200"/>
      <c r="D547" s="200"/>
      <c r="E547" s="200"/>
      <c r="F547" s="200"/>
    </row>
    <row r="548">
      <c r="B548" s="200"/>
      <c r="C548" s="200"/>
      <c r="D548" s="200"/>
      <c r="E548" s="200"/>
      <c r="F548" s="200"/>
    </row>
    <row r="549">
      <c r="B549" s="200"/>
      <c r="C549" s="200"/>
      <c r="D549" s="200"/>
      <c r="E549" s="200"/>
      <c r="F549" s="200"/>
    </row>
    <row r="550">
      <c r="B550" s="200"/>
      <c r="C550" s="200"/>
      <c r="D550" s="200"/>
      <c r="E550" s="200"/>
      <c r="F550" s="200"/>
    </row>
    <row r="551">
      <c r="B551" s="200"/>
      <c r="C551" s="200"/>
      <c r="D551" s="200"/>
      <c r="E551" s="200"/>
      <c r="F551" s="200"/>
    </row>
    <row r="552">
      <c r="B552" s="200"/>
      <c r="C552" s="200"/>
      <c r="D552" s="200"/>
      <c r="E552" s="200"/>
      <c r="F552" s="200"/>
    </row>
    <row r="553">
      <c r="B553" s="200"/>
      <c r="C553" s="200"/>
      <c r="D553" s="200"/>
      <c r="E553" s="200"/>
      <c r="F553" s="200"/>
    </row>
    <row r="554">
      <c r="B554" s="200"/>
      <c r="C554" s="200"/>
      <c r="D554" s="200"/>
      <c r="E554" s="200"/>
      <c r="F554" s="200"/>
    </row>
    <row r="555">
      <c r="B555" s="200"/>
      <c r="C555" s="200"/>
      <c r="D555" s="200"/>
      <c r="E555" s="200"/>
      <c r="F555" s="200"/>
    </row>
    <row r="556">
      <c r="B556" s="200"/>
      <c r="C556" s="200"/>
      <c r="D556" s="200"/>
      <c r="E556" s="200"/>
      <c r="F556" s="200"/>
    </row>
    <row r="557">
      <c r="B557" s="200"/>
      <c r="C557" s="200"/>
      <c r="D557" s="200"/>
      <c r="E557" s="200"/>
      <c r="F557" s="200"/>
    </row>
    <row r="558">
      <c r="B558" s="200"/>
      <c r="C558" s="200"/>
      <c r="D558" s="200"/>
      <c r="E558" s="200"/>
      <c r="F558" s="200"/>
    </row>
    <row r="559">
      <c r="B559" s="200"/>
      <c r="C559" s="200"/>
      <c r="D559" s="200"/>
      <c r="E559" s="200"/>
      <c r="F559" s="200"/>
    </row>
    <row r="560">
      <c r="B560" s="200"/>
      <c r="C560" s="200"/>
      <c r="D560" s="200"/>
      <c r="E560" s="200"/>
      <c r="F560" s="200"/>
    </row>
    <row r="561">
      <c r="B561" s="200"/>
      <c r="C561" s="200"/>
      <c r="D561" s="200"/>
      <c r="E561" s="200"/>
      <c r="F561" s="200"/>
    </row>
    <row r="562">
      <c r="B562" s="200"/>
      <c r="C562" s="200"/>
      <c r="D562" s="200"/>
      <c r="E562" s="200"/>
      <c r="F562" s="200"/>
    </row>
    <row r="563">
      <c r="B563" s="200"/>
      <c r="C563" s="200"/>
      <c r="D563" s="200"/>
      <c r="E563" s="200"/>
      <c r="F563" s="200"/>
    </row>
    <row r="564">
      <c r="B564" s="200"/>
      <c r="C564" s="200"/>
      <c r="D564" s="200"/>
      <c r="E564" s="200"/>
      <c r="F564" s="200"/>
    </row>
    <row r="565">
      <c r="B565" s="200"/>
      <c r="C565" s="200"/>
      <c r="D565" s="200"/>
      <c r="E565" s="200"/>
      <c r="F565" s="200"/>
    </row>
    <row r="566">
      <c r="B566" s="200"/>
      <c r="C566" s="200"/>
      <c r="D566" s="200"/>
      <c r="E566" s="200"/>
      <c r="F566" s="200"/>
    </row>
    <row r="567">
      <c r="B567" s="200"/>
      <c r="C567" s="200"/>
      <c r="D567" s="200"/>
      <c r="E567" s="200"/>
      <c r="F567" s="200"/>
    </row>
    <row r="568">
      <c r="B568" s="200"/>
      <c r="C568" s="200"/>
      <c r="D568" s="200"/>
      <c r="E568" s="200"/>
      <c r="F568" s="200"/>
    </row>
    <row r="569">
      <c r="B569" s="200"/>
      <c r="C569" s="200"/>
      <c r="D569" s="200"/>
      <c r="E569" s="200"/>
      <c r="F569" s="200"/>
    </row>
    <row r="570">
      <c r="B570" s="200"/>
      <c r="C570" s="200"/>
      <c r="D570" s="200"/>
      <c r="E570" s="200"/>
      <c r="F570" s="200"/>
    </row>
    <row r="571">
      <c r="B571" s="200"/>
      <c r="C571" s="200"/>
      <c r="D571" s="200"/>
      <c r="E571" s="200"/>
      <c r="F571" s="200"/>
    </row>
    <row r="572">
      <c r="B572" s="200"/>
      <c r="C572" s="200"/>
      <c r="D572" s="200"/>
      <c r="E572" s="200"/>
      <c r="F572" s="200"/>
    </row>
    <row r="573">
      <c r="B573" s="200"/>
      <c r="C573" s="200"/>
      <c r="D573" s="200"/>
      <c r="E573" s="200"/>
      <c r="F573" s="200"/>
    </row>
    <row r="574">
      <c r="B574" s="200"/>
      <c r="C574" s="200"/>
      <c r="D574" s="200"/>
      <c r="E574" s="200"/>
      <c r="F574" s="200"/>
    </row>
    <row r="575">
      <c r="B575" s="200"/>
      <c r="C575" s="200"/>
      <c r="D575" s="200"/>
      <c r="E575" s="200"/>
      <c r="F575" s="200"/>
    </row>
    <row r="576">
      <c r="B576" s="200"/>
      <c r="C576" s="200"/>
      <c r="D576" s="200"/>
      <c r="E576" s="200"/>
      <c r="F576" s="200"/>
    </row>
    <row r="577">
      <c r="B577" s="200"/>
      <c r="C577" s="200"/>
      <c r="D577" s="200"/>
      <c r="E577" s="200"/>
      <c r="F577" s="200"/>
    </row>
    <row r="578">
      <c r="B578" s="200"/>
      <c r="C578" s="200"/>
      <c r="D578" s="200"/>
      <c r="E578" s="200"/>
      <c r="F578" s="200"/>
    </row>
    <row r="579">
      <c r="B579" s="200"/>
      <c r="C579" s="200"/>
      <c r="D579" s="200"/>
      <c r="E579" s="200"/>
      <c r="F579" s="200"/>
    </row>
    <row r="580">
      <c r="B580" s="200"/>
      <c r="C580" s="200"/>
      <c r="D580" s="200"/>
      <c r="E580" s="200"/>
      <c r="F580" s="200"/>
    </row>
    <row r="581">
      <c r="B581" s="200"/>
      <c r="C581" s="200"/>
      <c r="D581" s="200"/>
      <c r="E581" s="200"/>
      <c r="F581" s="200"/>
    </row>
    <row r="582">
      <c r="B582" s="200"/>
      <c r="C582" s="200"/>
      <c r="D582" s="200"/>
      <c r="E582" s="200"/>
      <c r="F582" s="200"/>
    </row>
    <row r="583">
      <c r="B583" s="200"/>
      <c r="C583" s="200"/>
      <c r="D583" s="200"/>
      <c r="E583" s="200"/>
      <c r="F583" s="200"/>
    </row>
    <row r="584">
      <c r="B584" s="200"/>
      <c r="C584" s="200"/>
      <c r="D584" s="200"/>
      <c r="E584" s="200"/>
      <c r="F584" s="200"/>
    </row>
    <row r="585">
      <c r="B585" s="200"/>
      <c r="C585" s="200"/>
      <c r="D585" s="200"/>
      <c r="E585" s="200"/>
      <c r="F585" s="200"/>
    </row>
    <row r="586">
      <c r="B586" s="200"/>
      <c r="C586" s="200"/>
      <c r="D586" s="200"/>
      <c r="E586" s="200"/>
      <c r="F586" s="200"/>
    </row>
    <row r="587">
      <c r="B587" s="200"/>
      <c r="C587" s="200"/>
      <c r="D587" s="200"/>
      <c r="E587" s="200"/>
      <c r="F587" s="200"/>
    </row>
    <row r="588">
      <c r="B588" s="200"/>
      <c r="C588" s="200"/>
      <c r="D588" s="200"/>
      <c r="E588" s="200"/>
      <c r="F588" s="200"/>
    </row>
    <row r="589">
      <c r="B589" s="200"/>
      <c r="C589" s="200"/>
      <c r="D589" s="200"/>
      <c r="E589" s="200"/>
      <c r="F589" s="200"/>
    </row>
    <row r="590">
      <c r="B590" s="200"/>
      <c r="C590" s="200"/>
      <c r="D590" s="200"/>
      <c r="E590" s="200"/>
      <c r="F590" s="200"/>
    </row>
    <row r="591">
      <c r="B591" s="200"/>
      <c r="C591" s="200"/>
      <c r="D591" s="200"/>
      <c r="E591" s="200"/>
      <c r="F591" s="200"/>
    </row>
    <row r="592">
      <c r="B592" s="200"/>
      <c r="C592" s="200"/>
      <c r="D592" s="200"/>
      <c r="E592" s="200"/>
      <c r="F592" s="200"/>
    </row>
    <row r="593">
      <c r="B593" s="200"/>
      <c r="C593" s="200"/>
      <c r="D593" s="200"/>
      <c r="E593" s="200"/>
      <c r="F593" s="200"/>
    </row>
    <row r="594">
      <c r="B594" s="200"/>
      <c r="C594" s="200"/>
      <c r="D594" s="200"/>
      <c r="E594" s="200"/>
      <c r="F594" s="200"/>
    </row>
    <row r="595">
      <c r="B595" s="200"/>
      <c r="C595" s="200"/>
      <c r="D595" s="200"/>
      <c r="E595" s="200"/>
      <c r="F595" s="200"/>
    </row>
    <row r="596">
      <c r="B596" s="200"/>
      <c r="C596" s="200"/>
      <c r="D596" s="200"/>
      <c r="E596" s="200"/>
      <c r="F596" s="200"/>
    </row>
    <row r="597">
      <c r="B597" s="200"/>
      <c r="C597" s="200"/>
      <c r="D597" s="200"/>
      <c r="E597" s="200"/>
      <c r="F597" s="200"/>
    </row>
    <row r="598">
      <c r="B598" s="200"/>
      <c r="C598" s="200"/>
      <c r="D598" s="200"/>
      <c r="E598" s="200"/>
      <c r="F598" s="200"/>
    </row>
    <row r="599">
      <c r="B599" s="200"/>
      <c r="C599" s="200"/>
      <c r="D599" s="200"/>
      <c r="E599" s="200"/>
      <c r="F599" s="200"/>
    </row>
    <row r="600">
      <c r="B600" s="200"/>
      <c r="C600" s="200"/>
      <c r="D600" s="200"/>
      <c r="E600" s="200"/>
      <c r="F600" s="200"/>
    </row>
    <row r="601">
      <c r="B601" s="200"/>
      <c r="C601" s="200"/>
      <c r="D601" s="200"/>
      <c r="E601" s="200"/>
      <c r="F601" s="200"/>
    </row>
    <row r="602">
      <c r="B602" s="200"/>
      <c r="C602" s="200"/>
      <c r="D602" s="200"/>
      <c r="E602" s="200"/>
      <c r="F602" s="200"/>
    </row>
    <row r="603">
      <c r="B603" s="200"/>
      <c r="C603" s="200"/>
      <c r="D603" s="200"/>
      <c r="E603" s="200"/>
      <c r="F603" s="200"/>
    </row>
    <row r="604">
      <c r="B604" s="200"/>
      <c r="C604" s="200"/>
      <c r="D604" s="200"/>
      <c r="E604" s="200"/>
      <c r="F604" s="200"/>
    </row>
    <row r="605">
      <c r="B605" s="200"/>
      <c r="C605" s="200"/>
      <c r="D605" s="200"/>
      <c r="E605" s="200"/>
      <c r="F605" s="200"/>
    </row>
    <row r="606">
      <c r="B606" s="200"/>
      <c r="C606" s="200"/>
      <c r="D606" s="200"/>
      <c r="E606" s="200"/>
      <c r="F606" s="200"/>
    </row>
    <row r="607">
      <c r="B607" s="200"/>
      <c r="C607" s="200"/>
      <c r="D607" s="200"/>
      <c r="E607" s="200"/>
      <c r="F607" s="200"/>
    </row>
    <row r="608">
      <c r="B608" s="200"/>
      <c r="C608" s="200"/>
      <c r="D608" s="200"/>
      <c r="E608" s="200"/>
      <c r="F608" s="200"/>
    </row>
    <row r="609">
      <c r="B609" s="200"/>
      <c r="C609" s="200"/>
      <c r="D609" s="200"/>
      <c r="E609" s="200"/>
      <c r="F609" s="200"/>
    </row>
    <row r="610">
      <c r="B610" s="200"/>
      <c r="C610" s="200"/>
      <c r="D610" s="200"/>
      <c r="E610" s="200"/>
      <c r="F610" s="200"/>
    </row>
    <row r="611">
      <c r="B611" s="200"/>
      <c r="C611" s="200"/>
      <c r="D611" s="200"/>
      <c r="E611" s="200"/>
      <c r="F611" s="200"/>
    </row>
    <row r="612">
      <c r="B612" s="200"/>
      <c r="C612" s="200"/>
      <c r="D612" s="200"/>
      <c r="E612" s="200"/>
      <c r="F612" s="200"/>
    </row>
    <row r="613">
      <c r="B613" s="200"/>
      <c r="C613" s="200"/>
      <c r="D613" s="200"/>
      <c r="E613" s="200"/>
      <c r="F613" s="200"/>
    </row>
    <row r="614">
      <c r="B614" s="200"/>
      <c r="C614" s="200"/>
      <c r="D614" s="200"/>
      <c r="E614" s="200"/>
      <c r="F614" s="200"/>
    </row>
    <row r="615">
      <c r="B615" s="200"/>
      <c r="C615" s="200"/>
      <c r="D615" s="200"/>
      <c r="E615" s="200"/>
      <c r="F615" s="200"/>
    </row>
    <row r="616">
      <c r="B616" s="200"/>
      <c r="C616" s="200"/>
      <c r="D616" s="200"/>
      <c r="E616" s="200"/>
      <c r="F616" s="200"/>
    </row>
    <row r="617">
      <c r="B617" s="200"/>
      <c r="C617" s="200"/>
      <c r="D617" s="200"/>
      <c r="E617" s="200"/>
      <c r="F617" s="200"/>
    </row>
    <row r="618">
      <c r="B618" s="200"/>
      <c r="C618" s="200"/>
      <c r="D618" s="200"/>
      <c r="E618" s="200"/>
      <c r="F618" s="200"/>
    </row>
    <row r="619">
      <c r="B619" s="200"/>
      <c r="C619" s="200"/>
      <c r="D619" s="200"/>
      <c r="E619" s="200"/>
      <c r="F619" s="200"/>
    </row>
    <row r="620">
      <c r="B620" s="200"/>
      <c r="C620" s="200"/>
      <c r="D620" s="200"/>
      <c r="E620" s="200"/>
      <c r="F620" s="200"/>
    </row>
    <row r="621">
      <c r="B621" s="200"/>
      <c r="C621" s="200"/>
      <c r="D621" s="200"/>
      <c r="E621" s="200"/>
      <c r="F621" s="200"/>
    </row>
    <row r="622">
      <c r="B622" s="200"/>
      <c r="C622" s="200"/>
      <c r="D622" s="200"/>
      <c r="E622" s="200"/>
      <c r="F622" s="200"/>
    </row>
    <row r="623">
      <c r="B623" s="200"/>
      <c r="C623" s="200"/>
      <c r="D623" s="200"/>
      <c r="E623" s="200"/>
      <c r="F623" s="200"/>
    </row>
    <row r="624">
      <c r="B624" s="200"/>
      <c r="C624" s="200"/>
      <c r="D624" s="200"/>
      <c r="E624" s="200"/>
      <c r="F624" s="200"/>
    </row>
    <row r="625">
      <c r="B625" s="200"/>
      <c r="C625" s="200"/>
      <c r="D625" s="200"/>
      <c r="E625" s="200"/>
      <c r="F625" s="200"/>
    </row>
    <row r="626">
      <c r="B626" s="200"/>
      <c r="C626" s="200"/>
      <c r="D626" s="200"/>
      <c r="E626" s="200"/>
      <c r="F626" s="200"/>
    </row>
    <row r="627">
      <c r="B627" s="200"/>
      <c r="C627" s="200"/>
      <c r="D627" s="200"/>
      <c r="E627" s="200"/>
      <c r="F627" s="200"/>
    </row>
    <row r="628">
      <c r="B628" s="200"/>
      <c r="C628" s="200"/>
      <c r="D628" s="200"/>
      <c r="E628" s="200"/>
      <c r="F628" s="200"/>
    </row>
    <row r="629">
      <c r="B629" s="200"/>
      <c r="C629" s="200"/>
      <c r="D629" s="200"/>
      <c r="E629" s="200"/>
      <c r="F629" s="200"/>
    </row>
    <row r="630">
      <c r="B630" s="200"/>
      <c r="C630" s="200"/>
      <c r="D630" s="200"/>
      <c r="E630" s="200"/>
      <c r="F630" s="200"/>
    </row>
    <row r="631">
      <c r="B631" s="200"/>
      <c r="C631" s="200"/>
      <c r="D631" s="200"/>
      <c r="E631" s="200"/>
      <c r="F631" s="200"/>
    </row>
    <row r="632">
      <c r="B632" s="200"/>
      <c r="C632" s="200"/>
      <c r="D632" s="200"/>
      <c r="E632" s="200"/>
      <c r="F632" s="200"/>
    </row>
    <row r="633">
      <c r="B633" s="200"/>
      <c r="C633" s="200"/>
      <c r="D633" s="200"/>
      <c r="E633" s="200"/>
      <c r="F633" s="200"/>
    </row>
    <row r="634">
      <c r="B634" s="200"/>
      <c r="C634" s="200"/>
      <c r="D634" s="200"/>
      <c r="E634" s="200"/>
      <c r="F634" s="200"/>
    </row>
    <row r="635">
      <c r="B635" s="200"/>
      <c r="C635" s="200"/>
      <c r="D635" s="200"/>
      <c r="E635" s="200"/>
      <c r="F635" s="200"/>
    </row>
    <row r="636">
      <c r="B636" s="200"/>
      <c r="C636" s="200"/>
      <c r="D636" s="200"/>
      <c r="E636" s="200"/>
      <c r="F636" s="200"/>
    </row>
    <row r="637">
      <c r="B637" s="200"/>
      <c r="C637" s="200"/>
      <c r="D637" s="200"/>
      <c r="E637" s="200"/>
      <c r="F637" s="200"/>
    </row>
    <row r="638">
      <c r="B638" s="200"/>
      <c r="C638" s="200"/>
      <c r="D638" s="200"/>
      <c r="E638" s="200"/>
      <c r="F638" s="200"/>
    </row>
    <row r="639">
      <c r="B639" s="200"/>
      <c r="C639" s="200"/>
      <c r="D639" s="200"/>
      <c r="E639" s="200"/>
      <c r="F639" s="200"/>
    </row>
    <row r="640">
      <c r="B640" s="200"/>
      <c r="C640" s="200"/>
      <c r="D640" s="200"/>
      <c r="E640" s="200"/>
      <c r="F640" s="200"/>
    </row>
    <row r="641">
      <c r="B641" s="200"/>
      <c r="C641" s="200"/>
      <c r="D641" s="200"/>
      <c r="E641" s="200"/>
      <c r="F641" s="200"/>
    </row>
    <row r="642">
      <c r="B642" s="200"/>
      <c r="C642" s="200"/>
      <c r="D642" s="200"/>
      <c r="E642" s="200"/>
      <c r="F642" s="200"/>
    </row>
    <row r="643">
      <c r="B643" s="200"/>
      <c r="C643" s="200"/>
      <c r="D643" s="200"/>
      <c r="E643" s="200"/>
      <c r="F643" s="200"/>
    </row>
    <row r="644">
      <c r="B644" s="200"/>
      <c r="C644" s="200"/>
      <c r="D644" s="200"/>
      <c r="E644" s="200"/>
      <c r="F644" s="200"/>
    </row>
    <row r="645">
      <c r="B645" s="200"/>
      <c r="C645" s="200"/>
      <c r="D645" s="200"/>
      <c r="E645" s="200"/>
      <c r="F645" s="200"/>
    </row>
    <row r="646">
      <c r="B646" s="200"/>
      <c r="C646" s="200"/>
      <c r="D646" s="200"/>
      <c r="E646" s="200"/>
      <c r="F646" s="200"/>
    </row>
    <row r="647">
      <c r="B647" s="200"/>
      <c r="C647" s="200"/>
      <c r="D647" s="200"/>
      <c r="E647" s="200"/>
      <c r="F647" s="200"/>
    </row>
    <row r="648">
      <c r="B648" s="200"/>
      <c r="C648" s="200"/>
      <c r="D648" s="200"/>
      <c r="E648" s="200"/>
      <c r="F648" s="200"/>
    </row>
    <row r="649">
      <c r="B649" s="200"/>
      <c r="C649" s="200"/>
      <c r="D649" s="200"/>
      <c r="E649" s="200"/>
      <c r="F649" s="200"/>
    </row>
    <row r="650">
      <c r="B650" s="200"/>
      <c r="C650" s="200"/>
      <c r="D650" s="200"/>
      <c r="E650" s="200"/>
      <c r="F650" s="200"/>
    </row>
    <row r="651">
      <c r="B651" s="200"/>
      <c r="C651" s="200"/>
      <c r="D651" s="200"/>
      <c r="E651" s="200"/>
      <c r="F651" s="200"/>
    </row>
    <row r="652">
      <c r="B652" s="200"/>
      <c r="C652" s="200"/>
      <c r="D652" s="200"/>
      <c r="E652" s="200"/>
      <c r="F652" s="200"/>
    </row>
    <row r="653">
      <c r="B653" s="200"/>
      <c r="C653" s="200"/>
      <c r="D653" s="200"/>
      <c r="E653" s="200"/>
      <c r="F653" s="200"/>
    </row>
    <row r="654">
      <c r="B654" s="200"/>
      <c r="C654" s="200"/>
      <c r="D654" s="200"/>
      <c r="E654" s="200"/>
      <c r="F654" s="200"/>
    </row>
    <row r="655">
      <c r="B655" s="200"/>
      <c r="C655" s="200"/>
      <c r="D655" s="200"/>
      <c r="E655" s="200"/>
      <c r="F655" s="200"/>
    </row>
    <row r="656">
      <c r="B656" s="200"/>
      <c r="C656" s="200"/>
      <c r="D656" s="200"/>
      <c r="E656" s="200"/>
      <c r="F656" s="200"/>
    </row>
    <row r="657">
      <c r="B657" s="200"/>
      <c r="C657" s="200"/>
      <c r="D657" s="200"/>
      <c r="E657" s="200"/>
      <c r="F657" s="200"/>
    </row>
    <row r="658">
      <c r="B658" s="200"/>
      <c r="C658" s="200"/>
      <c r="D658" s="200"/>
      <c r="E658" s="200"/>
      <c r="F658" s="200"/>
    </row>
    <row r="659">
      <c r="B659" s="200"/>
      <c r="C659" s="200"/>
      <c r="D659" s="200"/>
      <c r="E659" s="200"/>
      <c r="F659" s="200"/>
    </row>
    <row r="660">
      <c r="B660" s="200"/>
      <c r="C660" s="200"/>
      <c r="D660" s="200"/>
      <c r="E660" s="200"/>
      <c r="F660" s="200"/>
    </row>
    <row r="661">
      <c r="B661" s="200"/>
      <c r="C661" s="200"/>
      <c r="D661" s="200"/>
      <c r="E661" s="200"/>
      <c r="F661" s="200"/>
    </row>
    <row r="662">
      <c r="B662" s="200"/>
      <c r="C662" s="200"/>
      <c r="D662" s="200"/>
      <c r="E662" s="200"/>
      <c r="F662" s="200"/>
    </row>
    <row r="663">
      <c r="B663" s="200"/>
      <c r="C663" s="200"/>
      <c r="D663" s="200"/>
      <c r="E663" s="200"/>
      <c r="F663" s="200"/>
    </row>
    <row r="664">
      <c r="B664" s="200"/>
      <c r="C664" s="200"/>
      <c r="D664" s="200"/>
      <c r="E664" s="200"/>
      <c r="F664" s="200"/>
    </row>
    <row r="665">
      <c r="B665" s="200"/>
      <c r="C665" s="200"/>
      <c r="D665" s="200"/>
      <c r="E665" s="200"/>
      <c r="F665" s="200"/>
    </row>
    <row r="666">
      <c r="B666" s="200"/>
      <c r="C666" s="200"/>
      <c r="D666" s="200"/>
      <c r="E666" s="200"/>
      <c r="F666" s="200"/>
    </row>
    <row r="667">
      <c r="B667" s="200"/>
      <c r="C667" s="200"/>
      <c r="D667" s="200"/>
      <c r="E667" s="200"/>
      <c r="F667" s="200"/>
    </row>
    <row r="668">
      <c r="B668" s="200"/>
      <c r="C668" s="200"/>
      <c r="D668" s="200"/>
      <c r="E668" s="200"/>
      <c r="F668" s="200"/>
    </row>
    <row r="669">
      <c r="B669" s="200"/>
      <c r="C669" s="200"/>
      <c r="D669" s="200"/>
      <c r="E669" s="200"/>
      <c r="F669" s="200"/>
    </row>
    <row r="670">
      <c r="B670" s="200"/>
      <c r="C670" s="200"/>
      <c r="D670" s="200"/>
      <c r="E670" s="200"/>
      <c r="F670" s="200"/>
    </row>
    <row r="671">
      <c r="B671" s="200"/>
      <c r="C671" s="200"/>
      <c r="D671" s="200"/>
      <c r="E671" s="200"/>
      <c r="F671" s="200"/>
    </row>
    <row r="672">
      <c r="B672" s="200"/>
      <c r="C672" s="200"/>
      <c r="D672" s="200"/>
      <c r="E672" s="200"/>
      <c r="F672" s="200"/>
    </row>
    <row r="673">
      <c r="B673" s="200"/>
      <c r="C673" s="200"/>
      <c r="D673" s="200"/>
      <c r="E673" s="200"/>
      <c r="F673" s="200"/>
    </row>
    <row r="674">
      <c r="B674" s="200"/>
      <c r="C674" s="200"/>
      <c r="D674" s="200"/>
      <c r="E674" s="200"/>
      <c r="F674" s="200"/>
    </row>
    <row r="675">
      <c r="B675" s="200"/>
      <c r="C675" s="200"/>
      <c r="D675" s="200"/>
      <c r="E675" s="200"/>
      <c r="F675" s="200"/>
    </row>
    <row r="676">
      <c r="B676" s="200"/>
      <c r="C676" s="200"/>
      <c r="D676" s="200"/>
      <c r="E676" s="200"/>
      <c r="F676" s="200"/>
    </row>
    <row r="677">
      <c r="B677" s="200"/>
      <c r="C677" s="200"/>
      <c r="D677" s="200"/>
      <c r="E677" s="200"/>
      <c r="F677" s="200"/>
    </row>
    <row r="678">
      <c r="B678" s="200"/>
      <c r="C678" s="200"/>
      <c r="D678" s="200"/>
      <c r="E678" s="200"/>
      <c r="F678" s="200"/>
    </row>
    <row r="679">
      <c r="B679" s="200"/>
      <c r="C679" s="200"/>
      <c r="D679" s="200"/>
      <c r="E679" s="200"/>
      <c r="F679" s="200"/>
    </row>
    <row r="680">
      <c r="B680" s="200"/>
      <c r="C680" s="200"/>
      <c r="D680" s="200"/>
      <c r="E680" s="200"/>
      <c r="F680" s="200"/>
    </row>
    <row r="681">
      <c r="B681" s="200"/>
      <c r="C681" s="200"/>
      <c r="D681" s="200"/>
      <c r="E681" s="200"/>
      <c r="F681" s="200"/>
    </row>
    <row r="682">
      <c r="B682" s="200"/>
      <c r="C682" s="200"/>
      <c r="D682" s="200"/>
      <c r="E682" s="200"/>
      <c r="F682" s="200"/>
    </row>
    <row r="683">
      <c r="B683" s="200"/>
      <c r="C683" s="200"/>
      <c r="D683" s="200"/>
      <c r="E683" s="200"/>
      <c r="F683" s="200"/>
    </row>
    <row r="684">
      <c r="B684" s="200"/>
      <c r="C684" s="200"/>
      <c r="D684" s="200"/>
      <c r="E684" s="200"/>
      <c r="F684" s="200"/>
    </row>
    <row r="685">
      <c r="B685" s="200"/>
      <c r="C685" s="200"/>
      <c r="D685" s="200"/>
      <c r="E685" s="200"/>
      <c r="F685" s="200"/>
    </row>
    <row r="686">
      <c r="B686" s="200"/>
      <c r="C686" s="200"/>
      <c r="D686" s="200"/>
      <c r="E686" s="200"/>
      <c r="F686" s="200"/>
    </row>
    <row r="687">
      <c r="B687" s="200"/>
      <c r="C687" s="200"/>
      <c r="D687" s="200"/>
      <c r="E687" s="200"/>
      <c r="F687" s="200"/>
    </row>
    <row r="688">
      <c r="B688" s="200"/>
      <c r="C688" s="200"/>
      <c r="D688" s="200"/>
      <c r="E688" s="200"/>
      <c r="F688" s="200"/>
    </row>
    <row r="689">
      <c r="B689" s="200"/>
      <c r="C689" s="200"/>
      <c r="D689" s="200"/>
      <c r="E689" s="200"/>
      <c r="F689" s="200"/>
    </row>
    <row r="690">
      <c r="B690" s="200"/>
      <c r="C690" s="200"/>
      <c r="D690" s="200"/>
      <c r="E690" s="200"/>
      <c r="F690" s="200"/>
    </row>
    <row r="691">
      <c r="B691" s="200"/>
      <c r="C691" s="200"/>
      <c r="D691" s="200"/>
      <c r="E691" s="200"/>
      <c r="F691" s="200"/>
    </row>
    <row r="692">
      <c r="B692" s="200"/>
      <c r="C692" s="200"/>
      <c r="D692" s="200"/>
      <c r="E692" s="200"/>
      <c r="F692" s="200"/>
    </row>
    <row r="693">
      <c r="B693" s="200"/>
      <c r="C693" s="200"/>
      <c r="D693" s="200"/>
      <c r="E693" s="200"/>
      <c r="F693" s="200"/>
    </row>
    <row r="694">
      <c r="B694" s="200"/>
      <c r="C694" s="200"/>
      <c r="D694" s="200"/>
      <c r="E694" s="200"/>
      <c r="F694" s="200"/>
    </row>
    <row r="695">
      <c r="B695" s="200"/>
      <c r="C695" s="200"/>
      <c r="D695" s="200"/>
      <c r="E695" s="200"/>
      <c r="F695" s="200"/>
    </row>
    <row r="696">
      <c r="B696" s="200"/>
      <c r="C696" s="200"/>
      <c r="D696" s="200"/>
      <c r="E696" s="200"/>
      <c r="F696" s="200"/>
    </row>
    <row r="697">
      <c r="B697" s="200"/>
      <c r="C697" s="200"/>
      <c r="D697" s="200"/>
      <c r="E697" s="200"/>
      <c r="F697" s="200"/>
    </row>
    <row r="698">
      <c r="B698" s="200"/>
      <c r="C698" s="200"/>
      <c r="D698" s="200"/>
      <c r="E698" s="200"/>
      <c r="F698" s="200"/>
    </row>
    <row r="699">
      <c r="B699" s="200"/>
      <c r="C699" s="200"/>
      <c r="D699" s="200"/>
      <c r="E699" s="200"/>
      <c r="F699" s="200"/>
    </row>
    <row r="700">
      <c r="B700" s="200"/>
      <c r="C700" s="200"/>
      <c r="D700" s="200"/>
      <c r="E700" s="200"/>
      <c r="F700" s="200"/>
    </row>
    <row r="701">
      <c r="B701" s="200"/>
      <c r="C701" s="200"/>
      <c r="D701" s="200"/>
      <c r="E701" s="200"/>
      <c r="F701" s="200"/>
    </row>
    <row r="702">
      <c r="B702" s="200"/>
      <c r="C702" s="200"/>
      <c r="D702" s="200"/>
      <c r="E702" s="200"/>
      <c r="F702" s="200"/>
    </row>
    <row r="703">
      <c r="B703" s="200"/>
      <c r="C703" s="200"/>
      <c r="D703" s="200"/>
      <c r="E703" s="200"/>
      <c r="F703" s="200"/>
    </row>
    <row r="704">
      <c r="B704" s="200"/>
      <c r="C704" s="200"/>
      <c r="D704" s="200"/>
      <c r="E704" s="200"/>
      <c r="F704" s="200"/>
    </row>
    <row r="705">
      <c r="B705" s="200"/>
      <c r="C705" s="200"/>
      <c r="D705" s="200"/>
      <c r="E705" s="200"/>
      <c r="F705" s="200"/>
    </row>
    <row r="706">
      <c r="B706" s="200"/>
      <c r="C706" s="200"/>
      <c r="D706" s="200"/>
      <c r="E706" s="200"/>
      <c r="F706" s="200"/>
    </row>
    <row r="707">
      <c r="B707" s="200"/>
      <c r="C707" s="200"/>
      <c r="D707" s="200"/>
      <c r="E707" s="200"/>
      <c r="F707" s="200"/>
    </row>
    <row r="708">
      <c r="B708" s="200"/>
      <c r="C708" s="200"/>
      <c r="D708" s="200"/>
      <c r="E708" s="200"/>
      <c r="F708" s="200"/>
    </row>
    <row r="709">
      <c r="B709" s="200"/>
      <c r="C709" s="200"/>
      <c r="D709" s="200"/>
      <c r="E709" s="200"/>
      <c r="F709" s="200"/>
    </row>
    <row r="710">
      <c r="B710" s="200"/>
      <c r="C710" s="200"/>
      <c r="D710" s="200"/>
      <c r="E710" s="200"/>
      <c r="F710" s="200"/>
    </row>
    <row r="711">
      <c r="B711" s="200"/>
      <c r="C711" s="200"/>
      <c r="D711" s="200"/>
      <c r="E711" s="200"/>
      <c r="F711" s="200"/>
    </row>
    <row r="712">
      <c r="B712" s="200"/>
      <c r="C712" s="200"/>
      <c r="D712" s="200"/>
      <c r="E712" s="200"/>
      <c r="F712" s="200"/>
    </row>
    <row r="713">
      <c r="B713" s="200"/>
      <c r="C713" s="200"/>
      <c r="D713" s="200"/>
      <c r="E713" s="200"/>
      <c r="F713" s="200"/>
    </row>
    <row r="714">
      <c r="B714" s="200"/>
      <c r="C714" s="200"/>
      <c r="D714" s="200"/>
      <c r="E714" s="200"/>
      <c r="F714" s="200"/>
    </row>
    <row r="715">
      <c r="B715" s="200"/>
      <c r="C715" s="200"/>
      <c r="D715" s="200"/>
      <c r="E715" s="200"/>
      <c r="F715" s="200"/>
    </row>
    <row r="716">
      <c r="B716" s="200"/>
      <c r="C716" s="200"/>
      <c r="D716" s="200"/>
      <c r="E716" s="200"/>
      <c r="F716" s="200"/>
    </row>
    <row r="717">
      <c r="B717" s="200"/>
      <c r="C717" s="200"/>
      <c r="D717" s="200"/>
      <c r="E717" s="200"/>
      <c r="F717" s="200"/>
    </row>
    <row r="718">
      <c r="B718" s="200"/>
      <c r="C718" s="200"/>
      <c r="D718" s="200"/>
      <c r="E718" s="200"/>
      <c r="F718" s="200"/>
    </row>
    <row r="719">
      <c r="B719" s="200"/>
      <c r="C719" s="200"/>
      <c r="D719" s="200"/>
      <c r="E719" s="200"/>
      <c r="F719" s="200"/>
    </row>
    <row r="720">
      <c r="B720" s="200"/>
      <c r="C720" s="200"/>
      <c r="D720" s="200"/>
      <c r="E720" s="200"/>
      <c r="F720" s="200"/>
    </row>
    <row r="721">
      <c r="B721" s="200"/>
      <c r="C721" s="200"/>
      <c r="D721" s="200"/>
      <c r="E721" s="200"/>
      <c r="F721" s="200"/>
    </row>
    <row r="722">
      <c r="B722" s="200"/>
      <c r="C722" s="200"/>
      <c r="D722" s="200"/>
      <c r="E722" s="200"/>
      <c r="F722" s="200"/>
    </row>
    <row r="723">
      <c r="B723" s="200"/>
      <c r="C723" s="200"/>
      <c r="D723" s="200"/>
      <c r="E723" s="200"/>
      <c r="F723" s="200"/>
    </row>
    <row r="724">
      <c r="B724" s="200"/>
      <c r="C724" s="200"/>
      <c r="D724" s="200"/>
      <c r="E724" s="200"/>
      <c r="F724" s="200"/>
    </row>
    <row r="725">
      <c r="B725" s="200"/>
      <c r="C725" s="200"/>
      <c r="D725" s="200"/>
      <c r="E725" s="200"/>
      <c r="F725" s="200"/>
    </row>
    <row r="726">
      <c r="B726" s="200"/>
      <c r="C726" s="200"/>
      <c r="D726" s="200"/>
      <c r="E726" s="200"/>
      <c r="F726" s="200"/>
    </row>
    <row r="727">
      <c r="B727" s="200"/>
      <c r="C727" s="200"/>
      <c r="D727" s="200"/>
      <c r="E727" s="200"/>
      <c r="F727" s="200"/>
    </row>
    <row r="728">
      <c r="B728" s="200"/>
      <c r="C728" s="200"/>
      <c r="D728" s="200"/>
      <c r="E728" s="200"/>
      <c r="F728" s="200"/>
    </row>
    <row r="729">
      <c r="B729" s="200"/>
      <c r="C729" s="200"/>
      <c r="D729" s="200"/>
      <c r="E729" s="200"/>
      <c r="F729" s="200"/>
    </row>
    <row r="730">
      <c r="B730" s="200"/>
      <c r="C730" s="200"/>
      <c r="D730" s="200"/>
      <c r="E730" s="200"/>
      <c r="F730" s="200"/>
    </row>
    <row r="731">
      <c r="B731" s="200"/>
      <c r="C731" s="200"/>
      <c r="D731" s="200"/>
      <c r="E731" s="200"/>
      <c r="F731" s="200"/>
    </row>
    <row r="732">
      <c r="B732" s="200"/>
      <c r="C732" s="200"/>
      <c r="D732" s="200"/>
      <c r="E732" s="200"/>
      <c r="F732" s="200"/>
    </row>
    <row r="733">
      <c r="B733" s="200"/>
      <c r="C733" s="200"/>
      <c r="D733" s="200"/>
      <c r="E733" s="200"/>
      <c r="F733" s="200"/>
    </row>
    <row r="734">
      <c r="B734" s="200"/>
      <c r="C734" s="200"/>
      <c r="D734" s="200"/>
      <c r="E734" s="200"/>
      <c r="F734" s="200"/>
    </row>
    <row r="735">
      <c r="B735" s="200"/>
      <c r="C735" s="200"/>
      <c r="D735" s="200"/>
      <c r="E735" s="200"/>
      <c r="F735" s="200"/>
    </row>
    <row r="736">
      <c r="B736" s="200"/>
      <c r="C736" s="200"/>
      <c r="D736" s="200"/>
      <c r="E736" s="200"/>
      <c r="F736" s="200"/>
    </row>
    <row r="737">
      <c r="B737" s="200"/>
      <c r="C737" s="200"/>
      <c r="D737" s="200"/>
      <c r="E737" s="200"/>
      <c r="F737" s="200"/>
    </row>
    <row r="738">
      <c r="B738" s="200"/>
      <c r="C738" s="200"/>
      <c r="D738" s="200"/>
      <c r="E738" s="200"/>
      <c r="F738" s="200"/>
    </row>
    <row r="739">
      <c r="B739" s="200"/>
      <c r="C739" s="200"/>
      <c r="D739" s="200"/>
      <c r="E739" s="200"/>
      <c r="F739" s="200"/>
    </row>
    <row r="740">
      <c r="B740" s="200"/>
      <c r="C740" s="200"/>
      <c r="D740" s="200"/>
      <c r="E740" s="200"/>
      <c r="F740" s="200"/>
    </row>
    <row r="741">
      <c r="B741" s="200"/>
      <c r="C741" s="200"/>
      <c r="D741" s="200"/>
      <c r="E741" s="200"/>
      <c r="F741" s="200"/>
    </row>
    <row r="742">
      <c r="B742" s="200"/>
      <c r="C742" s="200"/>
      <c r="D742" s="200"/>
      <c r="E742" s="200"/>
      <c r="F742" s="200"/>
    </row>
    <row r="743">
      <c r="B743" s="200"/>
      <c r="C743" s="200"/>
      <c r="D743" s="200"/>
      <c r="E743" s="200"/>
      <c r="F743" s="200"/>
    </row>
    <row r="744">
      <c r="B744" s="200"/>
      <c r="C744" s="200"/>
      <c r="D744" s="200"/>
      <c r="E744" s="200"/>
      <c r="F744" s="200"/>
    </row>
    <row r="745">
      <c r="B745" s="200"/>
      <c r="C745" s="200"/>
      <c r="D745" s="200"/>
      <c r="E745" s="200"/>
      <c r="F745" s="200"/>
    </row>
    <row r="746">
      <c r="B746" s="200"/>
      <c r="C746" s="200"/>
      <c r="D746" s="200"/>
      <c r="E746" s="200"/>
      <c r="F746" s="200"/>
    </row>
    <row r="747">
      <c r="B747" s="200"/>
      <c r="C747" s="200"/>
      <c r="D747" s="200"/>
      <c r="E747" s="200"/>
      <c r="F747" s="200"/>
    </row>
    <row r="748">
      <c r="B748" s="200"/>
      <c r="C748" s="200"/>
      <c r="D748" s="200"/>
      <c r="E748" s="200"/>
      <c r="F748" s="200"/>
    </row>
    <row r="749">
      <c r="B749" s="200"/>
      <c r="C749" s="200"/>
      <c r="D749" s="200"/>
      <c r="E749" s="200"/>
      <c r="F749" s="200"/>
    </row>
    <row r="750">
      <c r="B750" s="200"/>
      <c r="C750" s="200"/>
      <c r="D750" s="200"/>
      <c r="E750" s="200"/>
      <c r="F750" s="200"/>
    </row>
    <row r="751">
      <c r="B751" s="200"/>
      <c r="C751" s="200"/>
      <c r="D751" s="200"/>
      <c r="E751" s="200"/>
      <c r="F751" s="200"/>
    </row>
    <row r="752">
      <c r="B752" s="200"/>
      <c r="C752" s="200"/>
      <c r="D752" s="200"/>
      <c r="E752" s="200"/>
      <c r="F752" s="200"/>
    </row>
    <row r="753">
      <c r="B753" s="200"/>
      <c r="C753" s="200"/>
      <c r="D753" s="200"/>
      <c r="E753" s="200"/>
      <c r="F753" s="200"/>
    </row>
    <row r="754">
      <c r="B754" s="200"/>
      <c r="C754" s="200"/>
      <c r="D754" s="200"/>
      <c r="E754" s="200"/>
      <c r="F754" s="200"/>
    </row>
    <row r="755">
      <c r="B755" s="200"/>
      <c r="C755" s="200"/>
      <c r="D755" s="200"/>
      <c r="E755" s="200"/>
      <c r="F755" s="200"/>
    </row>
    <row r="756">
      <c r="B756" s="200"/>
      <c r="C756" s="200"/>
      <c r="D756" s="200"/>
      <c r="E756" s="200"/>
      <c r="F756" s="200"/>
    </row>
    <row r="757">
      <c r="B757" s="200"/>
      <c r="C757" s="200"/>
      <c r="D757" s="200"/>
      <c r="E757" s="200"/>
      <c r="F757" s="200"/>
    </row>
    <row r="758">
      <c r="B758" s="200"/>
      <c r="C758" s="200"/>
      <c r="D758" s="200"/>
      <c r="E758" s="200"/>
      <c r="F758" s="200"/>
    </row>
    <row r="759">
      <c r="B759" s="200"/>
      <c r="C759" s="200"/>
      <c r="D759" s="200"/>
      <c r="E759" s="200"/>
      <c r="F759" s="200"/>
    </row>
    <row r="760">
      <c r="B760" s="200"/>
      <c r="C760" s="200"/>
      <c r="D760" s="200"/>
      <c r="E760" s="200"/>
      <c r="F760" s="200"/>
    </row>
    <row r="761">
      <c r="B761" s="200"/>
      <c r="C761" s="200"/>
      <c r="D761" s="200"/>
      <c r="E761" s="200"/>
      <c r="F761" s="200"/>
    </row>
    <row r="762">
      <c r="B762" s="200"/>
      <c r="C762" s="200"/>
      <c r="D762" s="200"/>
      <c r="E762" s="200"/>
      <c r="F762" s="200"/>
    </row>
    <row r="763">
      <c r="B763" s="200"/>
      <c r="C763" s="200"/>
      <c r="D763" s="200"/>
      <c r="E763" s="200"/>
      <c r="F763" s="200"/>
    </row>
    <row r="764">
      <c r="B764" s="200"/>
      <c r="C764" s="200"/>
      <c r="D764" s="200"/>
      <c r="E764" s="200"/>
      <c r="F764" s="200"/>
    </row>
    <row r="765">
      <c r="B765" s="200"/>
      <c r="C765" s="200"/>
      <c r="D765" s="200"/>
      <c r="E765" s="200"/>
      <c r="F765" s="200"/>
    </row>
    <row r="766">
      <c r="B766" s="200"/>
      <c r="C766" s="200"/>
      <c r="D766" s="200"/>
      <c r="E766" s="200"/>
      <c r="F766" s="200"/>
    </row>
    <row r="767">
      <c r="B767" s="200"/>
      <c r="C767" s="200"/>
      <c r="D767" s="200"/>
      <c r="E767" s="200"/>
      <c r="F767" s="200"/>
    </row>
    <row r="768">
      <c r="B768" s="200"/>
      <c r="C768" s="200"/>
      <c r="D768" s="200"/>
      <c r="E768" s="200"/>
      <c r="F768" s="200"/>
    </row>
    <row r="769">
      <c r="B769" s="200"/>
      <c r="C769" s="200"/>
      <c r="D769" s="200"/>
      <c r="E769" s="200"/>
      <c r="F769" s="200"/>
    </row>
    <row r="770">
      <c r="B770" s="200"/>
      <c r="C770" s="200"/>
      <c r="D770" s="200"/>
      <c r="E770" s="200"/>
      <c r="F770" s="200"/>
    </row>
    <row r="771">
      <c r="B771" s="200"/>
      <c r="C771" s="200"/>
      <c r="D771" s="200"/>
      <c r="E771" s="200"/>
      <c r="F771" s="200"/>
    </row>
    <row r="772">
      <c r="B772" s="200"/>
      <c r="C772" s="200"/>
      <c r="D772" s="200"/>
      <c r="E772" s="200"/>
      <c r="F772" s="200"/>
    </row>
    <row r="773">
      <c r="B773" s="200"/>
      <c r="C773" s="200"/>
      <c r="D773" s="200"/>
      <c r="E773" s="200"/>
      <c r="F773" s="200"/>
    </row>
    <row r="774">
      <c r="B774" s="200"/>
      <c r="C774" s="200"/>
      <c r="D774" s="200"/>
      <c r="E774" s="200"/>
      <c r="F774" s="200"/>
    </row>
    <row r="775">
      <c r="B775" s="200"/>
      <c r="C775" s="200"/>
      <c r="D775" s="200"/>
      <c r="E775" s="200"/>
      <c r="F775" s="200"/>
    </row>
    <row r="776">
      <c r="B776" s="200"/>
      <c r="C776" s="200"/>
      <c r="D776" s="200"/>
      <c r="E776" s="200"/>
      <c r="F776" s="200"/>
    </row>
    <row r="777">
      <c r="B777" s="200"/>
      <c r="C777" s="200"/>
      <c r="D777" s="200"/>
      <c r="E777" s="200"/>
      <c r="F777" s="200"/>
    </row>
    <row r="778">
      <c r="B778" s="200"/>
      <c r="C778" s="200"/>
      <c r="D778" s="200"/>
      <c r="E778" s="200"/>
      <c r="F778" s="200"/>
    </row>
    <row r="779">
      <c r="B779" s="200"/>
      <c r="C779" s="200"/>
      <c r="D779" s="200"/>
      <c r="E779" s="200"/>
      <c r="F779" s="200"/>
    </row>
    <row r="780">
      <c r="B780" s="200"/>
      <c r="C780" s="200"/>
      <c r="D780" s="200"/>
      <c r="E780" s="200"/>
      <c r="F780" s="200"/>
    </row>
    <row r="781">
      <c r="B781" s="200"/>
      <c r="C781" s="200"/>
      <c r="D781" s="200"/>
      <c r="E781" s="200"/>
      <c r="F781" s="200"/>
    </row>
    <row r="782">
      <c r="B782" s="200"/>
      <c r="C782" s="200"/>
      <c r="D782" s="200"/>
      <c r="E782" s="200"/>
      <c r="F782" s="200"/>
    </row>
    <row r="783">
      <c r="B783" s="200"/>
      <c r="C783" s="200"/>
      <c r="D783" s="200"/>
      <c r="E783" s="200"/>
      <c r="F783" s="200"/>
    </row>
    <row r="784">
      <c r="B784" s="200"/>
      <c r="C784" s="200"/>
      <c r="D784" s="200"/>
      <c r="E784" s="200"/>
      <c r="F784" s="200"/>
    </row>
    <row r="785">
      <c r="B785" s="200"/>
      <c r="C785" s="200"/>
      <c r="D785" s="200"/>
      <c r="E785" s="200"/>
      <c r="F785" s="200"/>
    </row>
    <row r="786">
      <c r="B786" s="200"/>
      <c r="C786" s="200"/>
      <c r="D786" s="200"/>
      <c r="E786" s="200"/>
      <c r="F786" s="200"/>
    </row>
    <row r="787">
      <c r="B787" s="200"/>
      <c r="C787" s="200"/>
      <c r="D787" s="200"/>
      <c r="E787" s="200"/>
      <c r="F787" s="200"/>
    </row>
    <row r="788">
      <c r="B788" s="200"/>
      <c r="C788" s="200"/>
      <c r="D788" s="200"/>
      <c r="E788" s="200"/>
      <c r="F788" s="200"/>
    </row>
    <row r="789">
      <c r="B789" s="200"/>
      <c r="C789" s="200"/>
      <c r="D789" s="200"/>
      <c r="E789" s="200"/>
      <c r="F789" s="200"/>
    </row>
    <row r="790">
      <c r="B790" s="200"/>
      <c r="C790" s="200"/>
      <c r="D790" s="200"/>
      <c r="E790" s="200"/>
      <c r="F790" s="200"/>
    </row>
    <row r="791">
      <c r="B791" s="200"/>
      <c r="C791" s="200"/>
      <c r="D791" s="200"/>
      <c r="E791" s="200"/>
      <c r="F791" s="200"/>
    </row>
    <row r="792">
      <c r="B792" s="200"/>
      <c r="C792" s="200"/>
      <c r="D792" s="200"/>
      <c r="E792" s="200"/>
      <c r="F792" s="200"/>
    </row>
    <row r="793">
      <c r="B793" s="200"/>
      <c r="C793" s="200"/>
      <c r="D793" s="200"/>
      <c r="E793" s="200"/>
      <c r="F793" s="200"/>
    </row>
    <row r="794">
      <c r="B794" s="200"/>
      <c r="C794" s="200"/>
      <c r="D794" s="200"/>
      <c r="E794" s="200"/>
      <c r="F794" s="200"/>
    </row>
    <row r="795">
      <c r="B795" s="200"/>
      <c r="C795" s="200"/>
      <c r="D795" s="200"/>
      <c r="E795" s="200"/>
      <c r="F795" s="200"/>
    </row>
    <row r="796">
      <c r="B796" s="200"/>
      <c r="C796" s="200"/>
      <c r="D796" s="200"/>
      <c r="E796" s="200"/>
      <c r="F796" s="200"/>
    </row>
    <row r="797">
      <c r="B797" s="200"/>
      <c r="C797" s="200"/>
      <c r="D797" s="200"/>
      <c r="E797" s="200"/>
      <c r="F797" s="200"/>
    </row>
    <row r="798">
      <c r="B798" s="200"/>
      <c r="C798" s="200"/>
      <c r="D798" s="200"/>
      <c r="E798" s="200"/>
      <c r="F798" s="200"/>
    </row>
    <row r="799">
      <c r="B799" s="200"/>
      <c r="C799" s="200"/>
      <c r="D799" s="200"/>
      <c r="E799" s="200"/>
      <c r="F799" s="200"/>
    </row>
    <row r="800">
      <c r="B800" s="200"/>
      <c r="C800" s="200"/>
      <c r="D800" s="200"/>
      <c r="E800" s="200"/>
      <c r="F800" s="200"/>
    </row>
    <row r="801">
      <c r="B801" s="200"/>
      <c r="C801" s="200"/>
      <c r="D801" s="200"/>
      <c r="E801" s="200"/>
      <c r="F801" s="200"/>
    </row>
    <row r="802">
      <c r="B802" s="200"/>
      <c r="C802" s="200"/>
      <c r="D802" s="200"/>
      <c r="E802" s="200"/>
      <c r="F802" s="200"/>
    </row>
    <row r="803">
      <c r="B803" s="200"/>
      <c r="C803" s="200"/>
      <c r="D803" s="200"/>
      <c r="E803" s="200"/>
      <c r="F803" s="200"/>
    </row>
    <row r="804">
      <c r="B804" s="200"/>
      <c r="C804" s="200"/>
      <c r="D804" s="200"/>
      <c r="E804" s="200"/>
      <c r="F804" s="200"/>
    </row>
    <row r="805">
      <c r="B805" s="200"/>
      <c r="C805" s="200"/>
      <c r="D805" s="200"/>
      <c r="E805" s="200"/>
      <c r="F805" s="200"/>
    </row>
    <row r="806">
      <c r="B806" s="200"/>
      <c r="C806" s="200"/>
      <c r="D806" s="200"/>
      <c r="E806" s="200"/>
      <c r="F806" s="200"/>
    </row>
    <row r="807">
      <c r="B807" s="200"/>
      <c r="C807" s="200"/>
      <c r="D807" s="200"/>
      <c r="E807" s="200"/>
      <c r="F807" s="200"/>
    </row>
    <row r="808">
      <c r="B808" s="200"/>
      <c r="C808" s="200"/>
      <c r="D808" s="200"/>
      <c r="E808" s="200"/>
      <c r="F808" s="200"/>
    </row>
    <row r="809">
      <c r="B809" s="200"/>
      <c r="C809" s="200"/>
      <c r="D809" s="200"/>
      <c r="E809" s="200"/>
      <c r="F809" s="200"/>
    </row>
    <row r="810">
      <c r="B810" s="200"/>
      <c r="C810" s="200"/>
      <c r="D810" s="200"/>
      <c r="E810" s="200"/>
      <c r="F810" s="200"/>
    </row>
    <row r="811">
      <c r="B811" s="200"/>
      <c r="C811" s="200"/>
      <c r="D811" s="200"/>
      <c r="E811" s="200"/>
      <c r="F811" s="200"/>
    </row>
    <row r="812">
      <c r="B812" s="200"/>
      <c r="C812" s="200"/>
      <c r="D812" s="200"/>
      <c r="E812" s="200"/>
      <c r="F812" s="200"/>
    </row>
    <row r="813">
      <c r="B813" s="200"/>
      <c r="C813" s="200"/>
      <c r="D813" s="200"/>
      <c r="E813" s="200"/>
      <c r="F813" s="200"/>
    </row>
    <row r="814">
      <c r="B814" s="200"/>
      <c r="C814" s="200"/>
      <c r="D814" s="200"/>
      <c r="E814" s="200"/>
      <c r="F814" s="200"/>
    </row>
    <row r="815">
      <c r="B815" s="200"/>
      <c r="C815" s="200"/>
      <c r="D815" s="200"/>
      <c r="E815" s="200"/>
      <c r="F815" s="200"/>
    </row>
    <row r="816">
      <c r="B816" s="200"/>
      <c r="C816" s="200"/>
      <c r="D816" s="200"/>
      <c r="E816" s="200"/>
      <c r="F816" s="200"/>
    </row>
    <row r="817">
      <c r="B817" s="200"/>
      <c r="C817" s="200"/>
      <c r="D817" s="200"/>
      <c r="E817" s="200"/>
      <c r="F817" s="200"/>
    </row>
    <row r="818">
      <c r="B818" s="200"/>
      <c r="C818" s="200"/>
      <c r="D818" s="200"/>
      <c r="E818" s="200"/>
      <c r="F818" s="200"/>
    </row>
    <row r="819">
      <c r="B819" s="200"/>
      <c r="C819" s="200"/>
      <c r="D819" s="200"/>
      <c r="E819" s="200"/>
      <c r="F819" s="200"/>
    </row>
    <row r="820">
      <c r="B820" s="200"/>
      <c r="C820" s="200"/>
      <c r="D820" s="200"/>
      <c r="E820" s="200"/>
      <c r="F820" s="200"/>
    </row>
    <row r="821">
      <c r="B821" s="200"/>
      <c r="C821" s="200"/>
      <c r="D821" s="200"/>
      <c r="E821" s="200"/>
      <c r="F821" s="200"/>
    </row>
    <row r="822">
      <c r="B822" s="200"/>
      <c r="C822" s="200"/>
      <c r="D822" s="200"/>
      <c r="E822" s="200"/>
      <c r="F822" s="200"/>
    </row>
    <row r="823">
      <c r="B823" s="200"/>
      <c r="C823" s="200"/>
      <c r="D823" s="200"/>
      <c r="E823" s="200"/>
      <c r="F823" s="200"/>
    </row>
    <row r="824">
      <c r="B824" s="200"/>
      <c r="C824" s="200"/>
      <c r="D824" s="200"/>
      <c r="E824" s="200"/>
      <c r="F824" s="200"/>
    </row>
    <row r="825">
      <c r="B825" s="200"/>
      <c r="C825" s="200"/>
      <c r="D825" s="200"/>
      <c r="E825" s="200"/>
      <c r="F825" s="200"/>
    </row>
    <row r="826">
      <c r="B826" s="200"/>
      <c r="C826" s="200"/>
      <c r="D826" s="200"/>
      <c r="E826" s="200"/>
      <c r="F826" s="200"/>
    </row>
    <row r="827">
      <c r="B827" s="200"/>
      <c r="C827" s="200"/>
      <c r="D827" s="200"/>
      <c r="E827" s="200"/>
      <c r="F827" s="200"/>
    </row>
    <row r="828">
      <c r="B828" s="200"/>
      <c r="C828" s="200"/>
      <c r="D828" s="200"/>
      <c r="E828" s="200"/>
      <c r="F828" s="200"/>
    </row>
    <row r="829">
      <c r="B829" s="200"/>
      <c r="C829" s="200"/>
      <c r="D829" s="200"/>
      <c r="E829" s="200"/>
      <c r="F829" s="200"/>
    </row>
    <row r="830">
      <c r="B830" s="200"/>
      <c r="C830" s="200"/>
      <c r="D830" s="200"/>
      <c r="E830" s="200"/>
      <c r="F830" s="200"/>
    </row>
    <row r="831">
      <c r="B831" s="200"/>
      <c r="C831" s="200"/>
      <c r="D831" s="200"/>
      <c r="E831" s="200"/>
      <c r="F831" s="200"/>
    </row>
    <row r="832">
      <c r="B832" s="200"/>
      <c r="C832" s="200"/>
      <c r="D832" s="200"/>
      <c r="E832" s="200"/>
      <c r="F832" s="200"/>
    </row>
    <row r="833">
      <c r="B833" s="200"/>
      <c r="C833" s="200"/>
      <c r="D833" s="200"/>
      <c r="E833" s="200"/>
      <c r="F833" s="200"/>
    </row>
    <row r="834">
      <c r="B834" s="200"/>
      <c r="C834" s="200"/>
      <c r="D834" s="200"/>
      <c r="E834" s="200"/>
      <c r="F834" s="200"/>
    </row>
    <row r="835">
      <c r="B835" s="200"/>
      <c r="C835" s="200"/>
      <c r="D835" s="200"/>
      <c r="E835" s="200"/>
      <c r="F835" s="200"/>
    </row>
    <row r="836">
      <c r="B836" s="200"/>
      <c r="C836" s="200"/>
      <c r="D836" s="200"/>
      <c r="E836" s="200"/>
      <c r="F836" s="200"/>
    </row>
    <row r="837">
      <c r="B837" s="200"/>
      <c r="C837" s="200"/>
      <c r="D837" s="200"/>
      <c r="E837" s="200"/>
      <c r="F837" s="200"/>
    </row>
    <row r="838">
      <c r="B838" s="200"/>
      <c r="C838" s="200"/>
      <c r="D838" s="200"/>
      <c r="E838" s="200"/>
      <c r="F838" s="200"/>
    </row>
    <row r="839">
      <c r="B839" s="200"/>
      <c r="C839" s="200"/>
      <c r="D839" s="200"/>
      <c r="E839" s="200"/>
      <c r="F839" s="200"/>
    </row>
    <row r="840">
      <c r="B840" s="200"/>
      <c r="C840" s="200"/>
      <c r="D840" s="200"/>
      <c r="E840" s="200"/>
      <c r="F840" s="200"/>
    </row>
    <row r="841">
      <c r="B841" s="200"/>
      <c r="C841" s="200"/>
      <c r="D841" s="200"/>
      <c r="E841" s="200"/>
      <c r="F841" s="200"/>
    </row>
    <row r="842">
      <c r="B842" s="200"/>
      <c r="C842" s="200"/>
      <c r="D842" s="200"/>
      <c r="E842" s="200"/>
      <c r="F842" s="200"/>
    </row>
    <row r="843">
      <c r="B843" s="200"/>
      <c r="C843" s="200"/>
      <c r="D843" s="200"/>
      <c r="E843" s="200"/>
      <c r="F843" s="200"/>
    </row>
    <row r="844">
      <c r="B844" s="200"/>
      <c r="C844" s="200"/>
      <c r="D844" s="200"/>
      <c r="E844" s="200"/>
      <c r="F844" s="200"/>
    </row>
    <row r="845">
      <c r="B845" s="200"/>
      <c r="C845" s="200"/>
      <c r="D845" s="200"/>
      <c r="E845" s="200"/>
      <c r="F845" s="200"/>
    </row>
    <row r="846">
      <c r="B846" s="200"/>
      <c r="C846" s="200"/>
      <c r="D846" s="200"/>
      <c r="E846" s="200"/>
      <c r="F846" s="200"/>
    </row>
    <row r="847">
      <c r="B847" s="200"/>
      <c r="C847" s="200"/>
      <c r="D847" s="200"/>
      <c r="E847" s="200"/>
      <c r="F847" s="200"/>
    </row>
    <row r="848">
      <c r="B848" s="200"/>
      <c r="C848" s="200"/>
      <c r="D848" s="200"/>
      <c r="E848" s="200"/>
      <c r="F848" s="200"/>
    </row>
    <row r="849">
      <c r="B849" s="200"/>
      <c r="C849" s="200"/>
      <c r="D849" s="200"/>
      <c r="E849" s="200"/>
      <c r="F849" s="200"/>
    </row>
    <row r="850">
      <c r="B850" s="200"/>
      <c r="C850" s="200"/>
      <c r="D850" s="200"/>
      <c r="E850" s="200"/>
      <c r="F850" s="200"/>
    </row>
    <row r="851">
      <c r="B851" s="200"/>
      <c r="C851" s="200"/>
      <c r="D851" s="200"/>
      <c r="E851" s="200"/>
      <c r="F851" s="200"/>
    </row>
    <row r="852">
      <c r="B852" s="200"/>
      <c r="C852" s="200"/>
      <c r="D852" s="200"/>
      <c r="E852" s="200"/>
      <c r="F852" s="200"/>
    </row>
    <row r="853">
      <c r="B853" s="200"/>
      <c r="C853" s="200"/>
      <c r="D853" s="200"/>
      <c r="E853" s="200"/>
      <c r="F853" s="200"/>
    </row>
    <row r="854">
      <c r="B854" s="200"/>
      <c r="C854" s="200"/>
      <c r="D854" s="200"/>
      <c r="E854" s="200"/>
      <c r="F854" s="200"/>
    </row>
    <row r="855">
      <c r="B855" s="200"/>
      <c r="C855" s="200"/>
      <c r="D855" s="200"/>
      <c r="E855" s="200"/>
      <c r="F855" s="200"/>
    </row>
    <row r="856">
      <c r="B856" s="200"/>
      <c r="C856" s="200"/>
      <c r="D856" s="200"/>
      <c r="E856" s="200"/>
      <c r="F856" s="200"/>
    </row>
    <row r="857">
      <c r="B857" s="200"/>
      <c r="C857" s="200"/>
      <c r="D857" s="200"/>
      <c r="E857" s="200"/>
      <c r="F857" s="200"/>
    </row>
    <row r="858">
      <c r="B858" s="200"/>
      <c r="C858" s="200"/>
      <c r="D858" s="200"/>
      <c r="E858" s="200"/>
      <c r="F858" s="200"/>
    </row>
    <row r="859">
      <c r="B859" s="200"/>
      <c r="C859" s="200"/>
      <c r="D859" s="200"/>
      <c r="E859" s="200"/>
      <c r="F859" s="200"/>
    </row>
    <row r="860">
      <c r="B860" s="200"/>
      <c r="C860" s="200"/>
      <c r="D860" s="200"/>
      <c r="E860" s="200"/>
      <c r="F860" s="200"/>
    </row>
    <row r="861">
      <c r="B861" s="200"/>
      <c r="C861" s="200"/>
      <c r="D861" s="200"/>
      <c r="E861" s="200"/>
      <c r="F861" s="200"/>
    </row>
    <row r="862">
      <c r="B862" s="200"/>
      <c r="C862" s="200"/>
      <c r="D862" s="200"/>
      <c r="E862" s="200"/>
      <c r="F862" s="200"/>
    </row>
    <row r="863">
      <c r="B863" s="200"/>
      <c r="C863" s="200"/>
      <c r="D863" s="200"/>
      <c r="E863" s="200"/>
      <c r="F863" s="200"/>
    </row>
    <row r="864">
      <c r="B864" s="200"/>
      <c r="C864" s="200"/>
      <c r="D864" s="200"/>
      <c r="E864" s="200"/>
      <c r="F864" s="200"/>
    </row>
    <row r="865">
      <c r="B865" s="200"/>
      <c r="C865" s="200"/>
      <c r="D865" s="200"/>
      <c r="E865" s="200"/>
      <c r="F865" s="200"/>
    </row>
    <row r="866">
      <c r="B866" s="200"/>
      <c r="C866" s="200"/>
      <c r="D866" s="200"/>
      <c r="E866" s="200"/>
      <c r="F866" s="200"/>
    </row>
    <row r="867">
      <c r="B867" s="200"/>
      <c r="C867" s="200"/>
      <c r="D867" s="200"/>
      <c r="E867" s="200"/>
      <c r="F867" s="200"/>
    </row>
    <row r="868">
      <c r="B868" s="200"/>
      <c r="C868" s="200"/>
      <c r="D868" s="200"/>
      <c r="E868" s="200"/>
      <c r="F868" s="200"/>
    </row>
    <row r="869">
      <c r="B869" s="200"/>
      <c r="C869" s="200"/>
      <c r="D869" s="200"/>
      <c r="E869" s="200"/>
      <c r="F869" s="200"/>
    </row>
    <row r="870">
      <c r="B870" s="200"/>
      <c r="C870" s="200"/>
      <c r="D870" s="200"/>
      <c r="E870" s="200"/>
      <c r="F870" s="200"/>
    </row>
    <row r="871">
      <c r="B871" s="200"/>
      <c r="C871" s="200"/>
      <c r="D871" s="200"/>
      <c r="E871" s="200"/>
      <c r="F871" s="200"/>
    </row>
    <row r="872">
      <c r="B872" s="200"/>
      <c r="C872" s="200"/>
      <c r="D872" s="200"/>
      <c r="E872" s="200"/>
      <c r="F872" s="200"/>
    </row>
    <row r="873">
      <c r="B873" s="200"/>
      <c r="C873" s="200"/>
      <c r="D873" s="200"/>
      <c r="E873" s="200"/>
      <c r="F873" s="200"/>
    </row>
    <row r="874">
      <c r="B874" s="200"/>
      <c r="C874" s="200"/>
      <c r="D874" s="200"/>
      <c r="E874" s="200"/>
      <c r="F874" s="200"/>
    </row>
    <row r="875">
      <c r="B875" s="200"/>
      <c r="C875" s="200"/>
      <c r="D875" s="200"/>
      <c r="E875" s="200"/>
      <c r="F875" s="200"/>
    </row>
    <row r="876">
      <c r="B876" s="200"/>
      <c r="C876" s="200"/>
      <c r="D876" s="200"/>
      <c r="E876" s="200"/>
      <c r="F876" s="200"/>
    </row>
    <row r="877">
      <c r="B877" s="200"/>
      <c r="C877" s="200"/>
      <c r="D877" s="200"/>
      <c r="E877" s="200"/>
      <c r="F877" s="200"/>
    </row>
    <row r="878">
      <c r="B878" s="200"/>
      <c r="C878" s="200"/>
      <c r="D878" s="200"/>
      <c r="E878" s="200"/>
      <c r="F878" s="200"/>
    </row>
    <row r="879">
      <c r="B879" s="200"/>
      <c r="C879" s="200"/>
      <c r="D879" s="200"/>
      <c r="E879" s="200"/>
      <c r="F879" s="200"/>
    </row>
    <row r="880">
      <c r="B880" s="200"/>
      <c r="C880" s="200"/>
      <c r="D880" s="200"/>
      <c r="E880" s="200"/>
      <c r="F880" s="200"/>
    </row>
    <row r="881">
      <c r="B881" s="200"/>
      <c r="C881" s="200"/>
      <c r="D881" s="200"/>
      <c r="E881" s="200"/>
      <c r="F881" s="200"/>
    </row>
    <row r="882">
      <c r="B882" s="200"/>
      <c r="C882" s="200"/>
      <c r="D882" s="200"/>
      <c r="E882" s="200"/>
      <c r="F882" s="200"/>
    </row>
    <row r="883">
      <c r="B883" s="200"/>
      <c r="C883" s="200"/>
      <c r="D883" s="200"/>
      <c r="E883" s="200"/>
      <c r="F883" s="200"/>
    </row>
    <row r="884">
      <c r="B884" s="200"/>
      <c r="C884" s="200"/>
      <c r="D884" s="200"/>
      <c r="E884" s="200"/>
      <c r="F884" s="200"/>
    </row>
    <row r="885">
      <c r="B885" s="200"/>
      <c r="C885" s="200"/>
      <c r="D885" s="200"/>
      <c r="E885" s="200"/>
      <c r="F885" s="200"/>
    </row>
    <row r="886">
      <c r="B886" s="200"/>
      <c r="C886" s="200"/>
      <c r="D886" s="200"/>
      <c r="E886" s="200"/>
      <c r="F886" s="200"/>
    </row>
    <row r="887">
      <c r="B887" s="200"/>
      <c r="C887" s="200"/>
      <c r="D887" s="200"/>
      <c r="E887" s="200"/>
      <c r="F887" s="200"/>
    </row>
    <row r="888">
      <c r="B888" s="200"/>
      <c r="C888" s="200"/>
      <c r="D888" s="200"/>
      <c r="E888" s="200"/>
      <c r="F888" s="200"/>
    </row>
    <row r="889">
      <c r="B889" s="200"/>
      <c r="C889" s="200"/>
      <c r="D889" s="200"/>
      <c r="E889" s="200"/>
      <c r="F889" s="200"/>
    </row>
    <row r="890">
      <c r="B890" s="200"/>
      <c r="C890" s="200"/>
      <c r="D890" s="200"/>
      <c r="E890" s="200"/>
      <c r="F890" s="200"/>
    </row>
    <row r="891">
      <c r="B891" s="200"/>
      <c r="C891" s="200"/>
      <c r="D891" s="200"/>
      <c r="E891" s="200"/>
      <c r="F891" s="200"/>
    </row>
    <row r="892">
      <c r="B892" s="200"/>
      <c r="C892" s="200"/>
      <c r="D892" s="200"/>
      <c r="E892" s="200"/>
      <c r="F892" s="200"/>
    </row>
    <row r="893">
      <c r="B893" s="200"/>
      <c r="C893" s="200"/>
      <c r="D893" s="200"/>
      <c r="E893" s="200"/>
      <c r="F893" s="200"/>
    </row>
    <row r="894">
      <c r="B894" s="200"/>
      <c r="C894" s="200"/>
      <c r="D894" s="200"/>
      <c r="E894" s="200"/>
      <c r="F894" s="200"/>
    </row>
    <row r="895">
      <c r="B895" s="200"/>
      <c r="C895" s="200"/>
      <c r="D895" s="200"/>
      <c r="E895" s="200"/>
      <c r="F895" s="200"/>
    </row>
    <row r="896">
      <c r="B896" s="200"/>
      <c r="C896" s="200"/>
      <c r="D896" s="200"/>
      <c r="E896" s="200"/>
      <c r="F896" s="200"/>
    </row>
    <row r="897">
      <c r="B897" s="200"/>
      <c r="C897" s="200"/>
      <c r="D897" s="200"/>
      <c r="E897" s="200"/>
      <c r="F897" s="200"/>
    </row>
    <row r="898">
      <c r="B898" s="200"/>
      <c r="C898" s="200"/>
      <c r="D898" s="200"/>
      <c r="E898" s="200"/>
      <c r="F898" s="200"/>
    </row>
    <row r="899">
      <c r="B899" s="200"/>
      <c r="C899" s="200"/>
      <c r="D899" s="200"/>
      <c r="E899" s="200"/>
      <c r="F899" s="200"/>
    </row>
    <row r="900">
      <c r="B900" s="200"/>
      <c r="C900" s="200"/>
      <c r="D900" s="200"/>
      <c r="E900" s="200"/>
      <c r="F900" s="200"/>
    </row>
    <row r="901">
      <c r="B901" s="200"/>
      <c r="C901" s="200"/>
      <c r="D901" s="200"/>
      <c r="E901" s="200"/>
      <c r="F901" s="200"/>
    </row>
    <row r="902">
      <c r="B902" s="200"/>
      <c r="C902" s="200"/>
      <c r="D902" s="200"/>
      <c r="E902" s="200"/>
      <c r="F902" s="200"/>
    </row>
    <row r="903">
      <c r="B903" s="200"/>
      <c r="C903" s="200"/>
      <c r="D903" s="200"/>
      <c r="E903" s="200"/>
      <c r="F903" s="200"/>
    </row>
    <row r="904">
      <c r="B904" s="200"/>
      <c r="C904" s="200"/>
      <c r="D904" s="200"/>
      <c r="E904" s="200"/>
      <c r="F904" s="200"/>
    </row>
    <row r="905">
      <c r="B905" s="200"/>
      <c r="C905" s="200"/>
      <c r="D905" s="200"/>
      <c r="E905" s="200"/>
      <c r="F905" s="200"/>
    </row>
    <row r="906">
      <c r="B906" s="200"/>
      <c r="C906" s="200"/>
      <c r="D906" s="200"/>
      <c r="E906" s="200"/>
      <c r="F906" s="200"/>
    </row>
    <row r="907">
      <c r="B907" s="200"/>
      <c r="C907" s="200"/>
      <c r="D907" s="200"/>
      <c r="E907" s="200"/>
      <c r="F907" s="200"/>
    </row>
    <row r="908">
      <c r="B908" s="200"/>
      <c r="C908" s="200"/>
      <c r="D908" s="200"/>
      <c r="E908" s="200"/>
      <c r="F908" s="200"/>
    </row>
    <row r="909">
      <c r="B909" s="200"/>
      <c r="C909" s="200"/>
      <c r="D909" s="200"/>
      <c r="E909" s="200"/>
      <c r="F909" s="200"/>
    </row>
    <row r="910">
      <c r="B910" s="200"/>
      <c r="C910" s="200"/>
      <c r="D910" s="200"/>
      <c r="E910" s="200"/>
      <c r="F910" s="200"/>
    </row>
    <row r="911">
      <c r="B911" s="200"/>
      <c r="C911" s="200"/>
      <c r="D911" s="200"/>
      <c r="E911" s="200"/>
      <c r="F911" s="200"/>
    </row>
    <row r="912">
      <c r="B912" s="200"/>
      <c r="C912" s="200"/>
      <c r="D912" s="200"/>
      <c r="E912" s="200"/>
      <c r="F912" s="200"/>
    </row>
    <row r="913">
      <c r="B913" s="200"/>
      <c r="C913" s="200"/>
      <c r="D913" s="200"/>
      <c r="E913" s="200"/>
      <c r="F913" s="200"/>
    </row>
    <row r="914">
      <c r="B914" s="200"/>
      <c r="C914" s="200"/>
      <c r="D914" s="200"/>
      <c r="E914" s="200"/>
      <c r="F914" s="200"/>
    </row>
    <row r="915">
      <c r="B915" s="200"/>
      <c r="C915" s="200"/>
      <c r="D915" s="200"/>
      <c r="E915" s="200"/>
      <c r="F915" s="200"/>
    </row>
    <row r="916">
      <c r="B916" s="200"/>
      <c r="C916" s="200"/>
      <c r="D916" s="200"/>
      <c r="E916" s="200"/>
      <c r="F916" s="200"/>
    </row>
    <row r="917">
      <c r="B917" s="200"/>
      <c r="C917" s="200"/>
      <c r="D917" s="200"/>
      <c r="E917" s="200"/>
      <c r="F917" s="200"/>
    </row>
    <row r="918">
      <c r="B918" s="200"/>
      <c r="C918" s="200"/>
      <c r="D918" s="200"/>
      <c r="E918" s="200"/>
      <c r="F918" s="200"/>
    </row>
    <row r="919">
      <c r="B919" s="200"/>
      <c r="C919" s="200"/>
      <c r="D919" s="200"/>
      <c r="E919" s="200"/>
      <c r="F919" s="200"/>
    </row>
    <row r="920">
      <c r="B920" s="200"/>
      <c r="C920" s="200"/>
      <c r="D920" s="200"/>
      <c r="E920" s="200"/>
      <c r="F920" s="200"/>
    </row>
    <row r="921">
      <c r="B921" s="200"/>
      <c r="C921" s="200"/>
      <c r="D921" s="200"/>
      <c r="E921" s="200"/>
      <c r="F921" s="200"/>
    </row>
    <row r="922">
      <c r="B922" s="200"/>
      <c r="C922" s="200"/>
      <c r="D922" s="200"/>
      <c r="E922" s="200"/>
      <c r="F922" s="200"/>
    </row>
    <row r="923">
      <c r="B923" s="200"/>
      <c r="C923" s="200"/>
      <c r="D923" s="200"/>
      <c r="E923" s="200"/>
      <c r="F923" s="200"/>
    </row>
    <row r="924">
      <c r="B924" s="200"/>
      <c r="C924" s="200"/>
      <c r="D924" s="200"/>
      <c r="E924" s="200"/>
      <c r="F924" s="200"/>
    </row>
    <row r="925">
      <c r="B925" s="200"/>
      <c r="C925" s="200"/>
      <c r="D925" s="200"/>
      <c r="E925" s="200"/>
      <c r="F925" s="200"/>
    </row>
    <row r="926">
      <c r="B926" s="200"/>
      <c r="C926" s="200"/>
      <c r="D926" s="200"/>
      <c r="E926" s="200"/>
      <c r="F926" s="200"/>
    </row>
    <row r="927">
      <c r="B927" s="200"/>
      <c r="C927" s="200"/>
      <c r="D927" s="200"/>
      <c r="E927" s="200"/>
      <c r="F927" s="200"/>
    </row>
    <row r="928">
      <c r="B928" s="200"/>
      <c r="C928" s="200"/>
      <c r="D928" s="200"/>
      <c r="E928" s="200"/>
      <c r="F928" s="200"/>
    </row>
    <row r="929">
      <c r="B929" s="200"/>
      <c r="C929" s="200"/>
      <c r="D929" s="200"/>
      <c r="E929" s="200"/>
      <c r="F929" s="200"/>
    </row>
    <row r="930">
      <c r="B930" s="200"/>
      <c r="C930" s="200"/>
      <c r="D930" s="200"/>
      <c r="E930" s="200"/>
      <c r="F930" s="200"/>
    </row>
    <row r="931">
      <c r="B931" s="200"/>
      <c r="C931" s="200"/>
      <c r="D931" s="200"/>
      <c r="E931" s="200"/>
      <c r="F931" s="200"/>
    </row>
    <row r="932">
      <c r="B932" s="200"/>
      <c r="C932" s="200"/>
      <c r="D932" s="200"/>
      <c r="E932" s="200"/>
      <c r="F932" s="200"/>
    </row>
    <row r="933">
      <c r="B933" s="200"/>
      <c r="C933" s="200"/>
      <c r="D933" s="200"/>
      <c r="E933" s="200"/>
      <c r="F933" s="200"/>
    </row>
    <row r="934">
      <c r="B934" s="200"/>
      <c r="C934" s="200"/>
      <c r="D934" s="200"/>
      <c r="E934" s="200"/>
      <c r="F934" s="200"/>
    </row>
    <row r="935">
      <c r="B935" s="200"/>
      <c r="C935" s="200"/>
      <c r="D935" s="200"/>
      <c r="E935" s="200"/>
      <c r="F935" s="200"/>
    </row>
    <row r="936">
      <c r="B936" s="200"/>
      <c r="C936" s="200"/>
      <c r="D936" s="200"/>
      <c r="E936" s="200"/>
      <c r="F936" s="200"/>
    </row>
    <row r="937">
      <c r="B937" s="200"/>
      <c r="C937" s="200"/>
      <c r="D937" s="200"/>
      <c r="E937" s="200"/>
      <c r="F937" s="200"/>
    </row>
    <row r="938">
      <c r="B938" s="200"/>
      <c r="C938" s="200"/>
      <c r="D938" s="200"/>
      <c r="E938" s="200"/>
      <c r="F938" s="200"/>
    </row>
    <row r="939">
      <c r="B939" s="200"/>
      <c r="C939" s="200"/>
      <c r="D939" s="200"/>
      <c r="E939" s="200"/>
      <c r="F939" s="200"/>
    </row>
    <row r="940">
      <c r="B940" s="200"/>
      <c r="C940" s="200"/>
      <c r="D940" s="200"/>
      <c r="E940" s="200"/>
      <c r="F940" s="200"/>
    </row>
    <row r="941">
      <c r="B941" s="200"/>
      <c r="C941" s="200"/>
      <c r="D941" s="200"/>
      <c r="E941" s="200"/>
      <c r="F941" s="200"/>
    </row>
    <row r="942">
      <c r="B942" s="200"/>
      <c r="C942" s="200"/>
      <c r="D942" s="200"/>
      <c r="E942" s="200"/>
      <c r="F942" s="200"/>
    </row>
    <row r="943">
      <c r="B943" s="200"/>
      <c r="C943" s="200"/>
      <c r="D943" s="200"/>
      <c r="E943" s="200"/>
      <c r="F943" s="200"/>
    </row>
    <row r="944">
      <c r="B944" s="200"/>
      <c r="C944" s="200"/>
      <c r="D944" s="200"/>
      <c r="E944" s="200"/>
      <c r="F944" s="200"/>
    </row>
    <row r="945">
      <c r="B945" s="200"/>
      <c r="C945" s="200"/>
      <c r="D945" s="200"/>
      <c r="E945" s="200"/>
      <c r="F945" s="200"/>
    </row>
    <row r="946">
      <c r="B946" s="200"/>
      <c r="C946" s="200"/>
      <c r="D946" s="200"/>
      <c r="E946" s="200"/>
      <c r="F946" s="200"/>
    </row>
    <row r="947">
      <c r="B947" s="200"/>
      <c r="C947" s="200"/>
      <c r="D947" s="200"/>
      <c r="E947" s="200"/>
      <c r="F947" s="200"/>
    </row>
    <row r="948">
      <c r="B948" s="200"/>
      <c r="C948" s="200"/>
      <c r="D948" s="200"/>
      <c r="E948" s="200"/>
      <c r="F948" s="200"/>
    </row>
    <row r="949">
      <c r="B949" s="200"/>
      <c r="C949" s="200"/>
      <c r="D949" s="200"/>
      <c r="E949" s="200"/>
      <c r="F949" s="200"/>
    </row>
    <row r="950">
      <c r="B950" s="200"/>
      <c r="C950" s="200"/>
      <c r="D950" s="200"/>
      <c r="E950" s="200"/>
      <c r="F950" s="200"/>
    </row>
    <row r="951">
      <c r="B951" s="200"/>
      <c r="C951" s="200"/>
      <c r="D951" s="200"/>
      <c r="E951" s="200"/>
      <c r="F951" s="200"/>
    </row>
    <row r="952">
      <c r="B952" s="200"/>
      <c r="C952" s="200"/>
      <c r="D952" s="200"/>
      <c r="E952" s="200"/>
      <c r="F952" s="200"/>
    </row>
    <row r="953">
      <c r="B953" s="200"/>
      <c r="C953" s="200"/>
      <c r="D953" s="200"/>
      <c r="E953" s="200"/>
      <c r="F953" s="200"/>
    </row>
    <row r="954">
      <c r="B954" s="200"/>
      <c r="C954" s="200"/>
      <c r="D954" s="200"/>
      <c r="E954" s="200"/>
      <c r="F954" s="200"/>
    </row>
    <row r="955">
      <c r="B955" s="200"/>
      <c r="C955" s="200"/>
      <c r="D955" s="200"/>
      <c r="E955" s="200"/>
      <c r="F955" s="200"/>
    </row>
    <row r="956">
      <c r="B956" s="200"/>
      <c r="C956" s="200"/>
      <c r="D956" s="200"/>
      <c r="E956" s="200"/>
      <c r="F956" s="200"/>
    </row>
    <row r="957">
      <c r="B957" s="200"/>
      <c r="C957" s="200"/>
      <c r="D957" s="200"/>
      <c r="E957" s="200"/>
      <c r="F957" s="200"/>
    </row>
    <row r="958">
      <c r="B958" s="200"/>
      <c r="C958" s="200"/>
      <c r="D958" s="200"/>
      <c r="E958" s="200"/>
      <c r="F958" s="200"/>
    </row>
    <row r="959">
      <c r="B959" s="200"/>
      <c r="C959" s="200"/>
      <c r="D959" s="200"/>
      <c r="E959" s="200"/>
      <c r="F959" s="200"/>
    </row>
    <row r="960">
      <c r="B960" s="200"/>
      <c r="C960" s="200"/>
      <c r="D960" s="200"/>
      <c r="E960" s="200"/>
      <c r="F960" s="200"/>
    </row>
    <row r="961">
      <c r="B961" s="200"/>
      <c r="C961" s="200"/>
      <c r="D961" s="200"/>
      <c r="E961" s="200"/>
      <c r="F961" s="200"/>
    </row>
    <row r="962">
      <c r="B962" s="200"/>
      <c r="C962" s="200"/>
      <c r="D962" s="200"/>
      <c r="E962" s="200"/>
      <c r="F962" s="200"/>
    </row>
    <row r="963">
      <c r="B963" s="200"/>
      <c r="C963" s="200"/>
      <c r="D963" s="200"/>
      <c r="E963" s="200"/>
      <c r="F963" s="200"/>
    </row>
    <row r="964">
      <c r="B964" s="200"/>
      <c r="C964" s="200"/>
      <c r="D964" s="200"/>
      <c r="E964" s="200"/>
      <c r="F964" s="200"/>
    </row>
    <row r="965">
      <c r="B965" s="200"/>
      <c r="C965" s="200"/>
      <c r="D965" s="200"/>
      <c r="E965" s="200"/>
      <c r="F965" s="200"/>
    </row>
    <row r="966">
      <c r="B966" s="200"/>
      <c r="C966" s="200"/>
      <c r="D966" s="200"/>
      <c r="E966" s="200"/>
      <c r="F966" s="200"/>
    </row>
    <row r="967">
      <c r="B967" s="200"/>
      <c r="C967" s="200"/>
      <c r="D967" s="200"/>
      <c r="E967" s="200"/>
      <c r="F967" s="200"/>
    </row>
    <row r="968">
      <c r="B968" s="200"/>
      <c r="C968" s="200"/>
      <c r="D968" s="200"/>
      <c r="E968" s="200"/>
      <c r="F968" s="200"/>
    </row>
    <row r="969">
      <c r="B969" s="200"/>
      <c r="C969" s="200"/>
      <c r="D969" s="200"/>
      <c r="E969" s="200"/>
      <c r="F969" s="200"/>
    </row>
    <row r="970">
      <c r="B970" s="200"/>
      <c r="C970" s="200"/>
      <c r="D970" s="200"/>
      <c r="E970" s="200"/>
      <c r="F970" s="200"/>
    </row>
    <row r="971">
      <c r="B971" s="200"/>
      <c r="C971" s="200"/>
      <c r="D971" s="200"/>
      <c r="E971" s="200"/>
      <c r="F971" s="200"/>
    </row>
    <row r="972">
      <c r="B972" s="200"/>
      <c r="C972" s="200"/>
      <c r="D972" s="200"/>
      <c r="E972" s="200"/>
      <c r="F972" s="200"/>
    </row>
    <row r="973">
      <c r="B973" s="200"/>
      <c r="C973" s="200"/>
      <c r="D973" s="200"/>
      <c r="E973" s="200"/>
      <c r="F973" s="200"/>
    </row>
    <row r="974">
      <c r="B974" s="200"/>
      <c r="C974" s="200"/>
      <c r="D974" s="200"/>
      <c r="E974" s="200"/>
      <c r="F974" s="200"/>
    </row>
    <row r="975">
      <c r="B975" s="200"/>
      <c r="C975" s="200"/>
      <c r="D975" s="200"/>
      <c r="E975" s="200"/>
      <c r="F975" s="200"/>
    </row>
    <row r="976">
      <c r="B976" s="200"/>
      <c r="C976" s="200"/>
      <c r="D976" s="200"/>
      <c r="E976" s="200"/>
      <c r="F976" s="200"/>
    </row>
    <row r="977">
      <c r="B977" s="200"/>
      <c r="C977" s="200"/>
      <c r="D977" s="200"/>
      <c r="E977" s="200"/>
      <c r="F977" s="200"/>
    </row>
    <row r="978">
      <c r="B978" s="200"/>
      <c r="C978" s="200"/>
      <c r="D978" s="200"/>
      <c r="E978" s="200"/>
      <c r="F978" s="200"/>
    </row>
    <row r="979">
      <c r="B979" s="200"/>
      <c r="C979" s="200"/>
      <c r="D979" s="200"/>
      <c r="E979" s="200"/>
      <c r="F979" s="200"/>
    </row>
    <row r="980">
      <c r="B980" s="200"/>
      <c r="C980" s="200"/>
      <c r="D980" s="200"/>
      <c r="E980" s="200"/>
      <c r="F980" s="200"/>
    </row>
    <row r="981">
      <c r="B981" s="200"/>
      <c r="C981" s="200"/>
      <c r="D981" s="200"/>
      <c r="E981" s="200"/>
      <c r="F981" s="200"/>
    </row>
    <row r="982">
      <c r="B982" s="200"/>
      <c r="C982" s="200"/>
      <c r="D982" s="200"/>
      <c r="E982" s="200"/>
      <c r="F982" s="200"/>
    </row>
    <row r="983">
      <c r="B983" s="200"/>
      <c r="C983" s="200"/>
      <c r="D983" s="200"/>
      <c r="E983" s="200"/>
      <c r="F983" s="200"/>
    </row>
    <row r="984">
      <c r="B984" s="200"/>
      <c r="C984" s="200"/>
      <c r="D984" s="200"/>
      <c r="E984" s="200"/>
      <c r="F984" s="200"/>
    </row>
    <row r="985">
      <c r="B985" s="200"/>
      <c r="C985" s="200"/>
      <c r="D985" s="200"/>
      <c r="E985" s="200"/>
      <c r="F985" s="200"/>
    </row>
    <row r="986">
      <c r="B986" s="200"/>
      <c r="C986" s="200"/>
      <c r="D986" s="200"/>
      <c r="E986" s="200"/>
      <c r="F986" s="200"/>
    </row>
    <row r="987">
      <c r="B987" s="200"/>
      <c r="C987" s="200"/>
      <c r="D987" s="200"/>
      <c r="E987" s="200"/>
      <c r="F987" s="200"/>
    </row>
    <row r="988">
      <c r="B988" s="200"/>
      <c r="C988" s="200"/>
      <c r="D988" s="200"/>
      <c r="E988" s="200"/>
      <c r="F988" s="200"/>
    </row>
    <row r="989">
      <c r="B989" s="200"/>
      <c r="C989" s="200"/>
      <c r="D989" s="200"/>
      <c r="E989" s="200"/>
      <c r="F989" s="200"/>
    </row>
    <row r="990">
      <c r="B990" s="200"/>
      <c r="C990" s="200"/>
      <c r="D990" s="200"/>
      <c r="E990" s="200"/>
      <c r="F990" s="200"/>
    </row>
    <row r="991">
      <c r="B991" s="200"/>
      <c r="C991" s="200"/>
      <c r="D991" s="200"/>
      <c r="E991" s="200"/>
      <c r="F991" s="200"/>
    </row>
    <row r="992">
      <c r="B992" s="200"/>
      <c r="C992" s="200"/>
      <c r="D992" s="200"/>
      <c r="E992" s="200"/>
      <c r="F992" s="200"/>
    </row>
    <row r="993">
      <c r="B993" s="200"/>
      <c r="C993" s="200"/>
      <c r="D993" s="200"/>
      <c r="E993" s="200"/>
      <c r="F993" s="200"/>
    </row>
    <row r="994">
      <c r="B994" s="200"/>
      <c r="C994" s="200"/>
      <c r="D994" s="200"/>
      <c r="E994" s="200"/>
      <c r="F994" s="200"/>
    </row>
    <row r="995">
      <c r="B995" s="200"/>
      <c r="C995" s="200"/>
      <c r="D995" s="200"/>
      <c r="E995" s="200"/>
      <c r="F995" s="200"/>
    </row>
    <row r="996">
      <c r="B996" s="200"/>
      <c r="C996" s="200"/>
      <c r="D996" s="200"/>
      <c r="E996" s="200"/>
      <c r="F996" s="200"/>
    </row>
    <row r="997">
      <c r="B997" s="200"/>
      <c r="C997" s="200"/>
      <c r="D997" s="200"/>
      <c r="E997" s="200"/>
      <c r="F997" s="200"/>
    </row>
    <row r="998">
      <c r="B998" s="200"/>
      <c r="C998" s="200"/>
      <c r="D998" s="200"/>
      <c r="E998" s="200"/>
      <c r="F998" s="200"/>
    </row>
    <row r="999">
      <c r="B999" s="200"/>
      <c r="C999" s="200"/>
      <c r="D999" s="200"/>
      <c r="E999" s="200"/>
      <c r="F999" s="200"/>
    </row>
    <row r="1000">
      <c r="B1000" s="200"/>
      <c r="C1000" s="200"/>
      <c r="D1000" s="200"/>
      <c r="E1000" s="200"/>
      <c r="F1000" s="200"/>
    </row>
  </sheetData>
  <mergeCells count="2">
    <mergeCell ref="A2:A3"/>
    <mergeCell ref="F2:F3"/>
  </mergeCell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1503E242B4242B818938EF38676E9" ma:contentTypeVersion="21" ma:contentTypeDescription="Create a new document." ma:contentTypeScope="" ma:versionID="c6029682399a2723c603dceec7b1d942">
  <xsd:schema xmlns:xsd="http://www.w3.org/2001/XMLSchema" xmlns:xs="http://www.w3.org/2001/XMLSchema" xmlns:p="http://schemas.microsoft.com/office/2006/metadata/properties" xmlns:ns2="801b4607-f500-4f6e-b784-fb54d22359e9" xmlns:ns3="05212364-6e0c-40a5-9fff-da248140089a" targetNamespace="http://schemas.microsoft.com/office/2006/metadata/properties" ma:root="true" ma:fieldsID="7d672569b73afc4b98897befdaa03136" ns2:_="" ns3:_="">
    <xsd:import namespace="801b4607-f500-4f6e-b784-fb54d22359e9"/>
    <xsd:import namespace="05212364-6e0c-40a5-9fff-da24814008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s" minOccurs="0"/>
                <xsd:element ref="ns2:MediaServiceSearchProperties" minOccurs="0"/>
                <xsd:element ref="ns2:AzureFiles" minOccurs="0"/>
                <xsd:element ref="ns2:MediaServiceBillingMetadata" minOccurs="0"/>
                <xsd:element ref="ns2: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b4607-f500-4f6e-b784-fb54d22359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2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zureFiles" ma:index="26" nillable="true" ma:displayName="Azure Files" ma:format="Hyperlink" ma:internalName="AzureFil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g" ma:index="28" nillable="true" ma:displayName="Tag" ma:description="Tag to flag the recipient user against" ma:format="Dropdown" ma:internalName="Ta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12364-6e0c-40a5-9fff-da2481400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010033-8c98-4658-a188-4535091bf398}" ma:internalName="TaxCatchAll" ma:showField="CatchAllData" ma:web="05212364-6e0c-40a5-9fff-da24814008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212364-6e0c-40a5-9fff-da248140089a" xsi:nil="true"/>
    <Notes xmlns="801b4607-f500-4f6e-b784-fb54d22359e9" xsi:nil="true"/>
    <lcf76f155ced4ddcb4097134ff3c332f xmlns="801b4607-f500-4f6e-b784-fb54d22359e9">
      <Terms xmlns="http://schemas.microsoft.com/office/infopath/2007/PartnerControls"/>
    </lcf76f155ced4ddcb4097134ff3c332f>
    <AzureFiles xmlns="801b4607-f500-4f6e-b784-fb54d22359e9">
      <Url xsi:nil="true"/>
      <Description xsi:nil="true"/>
    </AzureFiles>
    <Tag xmlns="801b4607-f500-4f6e-b784-fb54d22359e9" xsi:nil="true"/>
  </documentManagement>
</p:properties>
</file>

<file path=customXml/itemProps1.xml><?xml version="1.0" encoding="utf-8"?>
<ds:datastoreItem xmlns:ds="http://schemas.openxmlformats.org/officeDocument/2006/customXml" ds:itemID="{A8C74C9B-038D-4159-B347-16D76EC1C5FC}"/>
</file>

<file path=customXml/itemProps2.xml><?xml version="1.0" encoding="utf-8"?>
<ds:datastoreItem xmlns:ds="http://schemas.openxmlformats.org/officeDocument/2006/customXml" ds:itemID="{AC003824-A85B-4B59-A2E7-5DD5A68783EB}"/>
</file>

<file path=customXml/itemProps3.xml><?xml version="1.0" encoding="utf-8"?>
<ds:datastoreItem xmlns:ds="http://schemas.openxmlformats.org/officeDocument/2006/customXml" ds:itemID="{A6883C88-3D2D-46AE-9B54-26BF4AA5995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0x0101004C01503E242B4242B818938EF38676E9</vt:lpwstr>
  </property>
</Properties>
</file>