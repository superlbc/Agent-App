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/>
  <xr:revisionPtr revIDLastSave="0" documentId="11_3D83BFE96D77D2193E631701E24CE04223E5A00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n-Site Clicker" sheetId="1" r:id="rId1"/>
    <sheet name="Talent &amp; Influencer Social" sheetId="2" r:id="rId2"/>
    <sheet name="Paid Media &amp; Social" sheetId="3" r:id="rId3"/>
    <sheet name="PR" sheetId="4" r:id="rId4"/>
    <sheet name="POAPs" sheetId="5" r:id="rId5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5" l="1"/>
  <c r="J5" i="5"/>
  <c r="K55" i="1"/>
  <c r="K54" i="1"/>
  <c r="K53" i="1"/>
  <c r="K52" i="1"/>
  <c r="K51" i="1"/>
  <c r="K50" i="1"/>
  <c r="K49" i="1"/>
  <c r="K48" i="1"/>
  <c r="K47" i="1"/>
  <c r="K44" i="1"/>
  <c r="K42" i="1"/>
  <c r="K41" i="1"/>
  <c r="K40" i="1"/>
  <c r="K39" i="1"/>
  <c r="K38" i="1"/>
  <c r="K37" i="1"/>
  <c r="K36" i="1"/>
  <c r="K35" i="1"/>
  <c r="K34" i="1"/>
  <c r="K32" i="1"/>
  <c r="K31" i="1"/>
  <c r="K29" i="1"/>
  <c r="K28" i="1"/>
  <c r="K27" i="1"/>
  <c r="K26" i="1"/>
  <c r="K25" i="1"/>
  <c r="K24" i="1"/>
  <c r="K23" i="1"/>
  <c r="K22" i="1"/>
  <c r="K20" i="1"/>
  <c r="K19" i="1"/>
  <c r="K18" i="1"/>
  <c r="K17" i="1"/>
  <c r="K16" i="1"/>
  <c r="K15" i="1"/>
  <c r="K13" i="1"/>
  <c r="K11" i="1"/>
  <c r="I11" i="1"/>
  <c r="H11" i="1"/>
  <c r="G11" i="1"/>
  <c r="F11" i="1"/>
  <c r="E11" i="1"/>
  <c r="D11" i="1"/>
  <c r="C11" i="1"/>
  <c r="K9" i="1"/>
  <c r="K8" i="1"/>
  <c r="K7" i="1"/>
  <c r="K6" i="1"/>
</calcChain>
</file>

<file path=xl/sharedStrings.xml><?xml version="1.0" encoding="utf-8"?>
<sst xmlns="http://schemas.openxmlformats.org/spreadsheetml/2006/main" count="270" uniqueCount="124">
  <si>
    <t>LOCATIONS</t>
  </si>
  <si>
    <t>DATA COLLECTION</t>
  </si>
  <si>
    <t xml:space="preserve">2023 Golf Onsite </t>
  </si>
  <si>
    <t>TOTALS</t>
  </si>
  <si>
    <t>Expected Delivery 
Date</t>
  </si>
  <si>
    <t>Notes</t>
  </si>
  <si>
    <t>Mon</t>
  </si>
  <si>
    <t>Tues</t>
  </si>
  <si>
    <t>Wed</t>
  </si>
  <si>
    <t>Thu</t>
  </si>
  <si>
    <t>Fri</t>
  </si>
  <si>
    <t>Sat</t>
  </si>
  <si>
    <t>Sun</t>
  </si>
  <si>
    <t>U.S. Open - 2023</t>
  </si>
  <si>
    <t>CML</t>
  </si>
  <si>
    <t xml:space="preserve">Capacity: # of People In </t>
  </si>
  <si>
    <t>BA Clicker</t>
  </si>
  <si>
    <t>Momo to provide</t>
  </si>
  <si>
    <t># of CMs Verified without LETT</t>
  </si>
  <si>
    <t># of CMs In</t>
  </si>
  <si>
    <t>LETT / Amex</t>
  </si>
  <si>
    <t xml:space="preserve">Amex to provide </t>
  </si>
  <si>
    <t>This includes repeat people entering.</t>
  </si>
  <si>
    <t>Guest Count let In with LETT</t>
  </si>
  <si>
    <t>LETT / AMEX</t>
  </si>
  <si>
    <t># of Prospects In (DEP)</t>
  </si>
  <si>
    <t>QR Code / Amex</t>
  </si>
  <si>
    <t>This number is Total Prospects Captured. Total DEP Unique Visitors was 6,253</t>
  </si>
  <si>
    <t># of Tokens Provided (Platinum and Centurion)</t>
  </si>
  <si>
    <t>Photo Moment</t>
  </si>
  <si>
    <t xml:space="preserve"># of Interactions </t>
  </si>
  <si>
    <t>POAP</t>
  </si>
  <si>
    <t>Lab POAP's Collected (Email or Mint)</t>
  </si>
  <si>
    <t>POAP / Momo</t>
  </si>
  <si>
    <t>This number includes both email collection as well as users who minted their POAP.</t>
  </si>
  <si>
    <t xml:space="preserve">Lab POAPs Minted </t>
  </si>
  <si>
    <t>This number will continuously increase as email collectors mint their POAPs</t>
  </si>
  <si>
    <t>LINK visits (unique)</t>
  </si>
  <si>
    <t xml:space="preserve">HYPEBEAST </t>
  </si>
  <si>
    <t>LINK visits</t>
  </si>
  <si>
    <t>Conversion Rate</t>
  </si>
  <si>
    <t xml:space="preserve">FAN SERVICES </t>
  </si>
  <si>
    <t xml:space="preserve">Gate 5: Radios </t>
  </si>
  <si>
    <t>n/a</t>
  </si>
  <si>
    <t>Gate 5 : Mophies</t>
  </si>
  <si>
    <t xml:space="preserve">Gate 5: Prospects </t>
  </si>
  <si>
    <t>We had 620 Total Prospects Captured between both Fan Services Locations</t>
  </si>
  <si>
    <t>Gate 5: Total Interactions (2 clickers per location)</t>
  </si>
  <si>
    <t xml:space="preserve">Gate 10: Radios </t>
  </si>
  <si>
    <t>On 6/14, we shouldn't have had radios. This was probably us testing LETT or some sort of glitch.</t>
  </si>
  <si>
    <t>Gate 10: Mophies</t>
  </si>
  <si>
    <t xml:space="preserve">Gate 10: Prospects </t>
  </si>
  <si>
    <t>Gate 10: Total Interactions (2 clickers per location)</t>
  </si>
  <si>
    <t>FOOD VILLAGE</t>
  </si>
  <si>
    <t xml:space="preserve"># of Interactions at Fast Past Lane (1 BA clicking) </t>
  </si>
  <si>
    <t xml:space="preserve"># of Interactions at Photo Op (1 BA clicking) </t>
  </si>
  <si>
    <t xml:space="preserve">Radios </t>
  </si>
  <si>
    <t>Food Garden: Radios (Location 3)</t>
  </si>
  <si>
    <t xml:space="preserve">Food Garden: Prospects </t>
  </si>
  <si>
    <t>We had 669 Total Prospects Captured among all 3 Radio Stands</t>
  </si>
  <si>
    <t>Food Garden: NO LETT (doesnt have card)</t>
  </si>
  <si>
    <t>Concessions 12G: Radios (Location 2)</t>
  </si>
  <si>
    <t xml:space="preserve">Concessions 12G: Prospects </t>
  </si>
  <si>
    <t>Concessions 12G: NO LETT (doesnt have card)</t>
  </si>
  <si>
    <t xml:space="preserve">Concessions at Hole 1: Radios </t>
  </si>
  <si>
    <t xml:space="preserve">Concessions at Hole 1: Prospects </t>
  </si>
  <si>
    <t>Concessions at Hole 1: NO LETT (doesnt have card)</t>
  </si>
  <si>
    <t>ChargeFuze</t>
  </si>
  <si>
    <t>Mophie Rentals</t>
  </si>
  <si>
    <t>ChargeFuze to provide</t>
  </si>
  <si>
    <t>RADIOS:</t>
  </si>
  <si>
    <t>Radios w/ lett at FS and Radio Stands</t>
  </si>
  <si>
    <t>Prospected Radios</t>
  </si>
  <si>
    <t>Radios given out with no Lett</t>
  </si>
  <si>
    <t>Sum of above three rows</t>
  </si>
  <si>
    <t>Radios given to USGA and hospitality</t>
  </si>
  <si>
    <t>Sum of above 5 rows/Radios used</t>
  </si>
  <si>
    <t>Boxes used</t>
  </si>
  <si>
    <t>Radios unused</t>
  </si>
  <si>
    <t>Boxes unused</t>
  </si>
  <si>
    <t xml:space="preserve">Talent </t>
  </si>
  <si>
    <t>Number of Posts</t>
  </si>
  <si>
    <t>Social Impressions</t>
  </si>
  <si>
    <t>Social Engagements</t>
  </si>
  <si>
    <t>Wass</t>
  </si>
  <si>
    <t>BB Influencer #1</t>
  </si>
  <si>
    <t>BB</t>
  </si>
  <si>
    <t>BB Influencer #2</t>
  </si>
  <si>
    <t>BB Influencer #3</t>
  </si>
  <si>
    <t>Metrics</t>
  </si>
  <si>
    <t>Paid Media Impressions</t>
  </si>
  <si>
    <t>Below</t>
  </si>
  <si>
    <t>UM</t>
  </si>
  <si>
    <t>Paid Media Clicks</t>
  </si>
  <si>
    <t>Paid Media CTR</t>
  </si>
  <si>
    <t xml:space="preserve">Paid Social Impressions </t>
  </si>
  <si>
    <t xml:space="preserve">Paid Social Engagements </t>
  </si>
  <si>
    <t>Paid Social Link Clicks</t>
  </si>
  <si>
    <t>Additional Programmatic Metrics</t>
  </si>
  <si>
    <t>NA</t>
  </si>
  <si>
    <t>U.S. Open Social</t>
  </si>
  <si>
    <t>Permalink</t>
  </si>
  <si>
    <t>Day of Report Date</t>
  </si>
  <si>
    <t>Data Source + Post Level</t>
  </si>
  <si>
    <t>Post Message</t>
  </si>
  <si>
    <t>Post Type</t>
  </si>
  <si>
    <t>Total Actions</t>
  </si>
  <si>
    <t>Total Comments</t>
  </si>
  <si>
    <t>Total Impressions</t>
  </si>
  <si>
    <t>Total Likes</t>
  </si>
  <si>
    <t>Total Saves</t>
  </si>
  <si>
    <t>Total Shares</t>
  </si>
  <si>
    <t>Total Video Views</t>
  </si>
  <si>
    <t>Clicks</t>
  </si>
  <si>
    <t>Facebook: In-Feed</t>
  </si>
  <si>
    <t>Photo</t>
  </si>
  <si>
    <t>Instagram: Story</t>
  </si>
  <si>
    <t># of stories</t>
  </si>
  <si>
    <t>D1A</t>
  </si>
  <si>
    <t>% of key message pull through</t>
  </si>
  <si>
    <t># of stories secured featuring talent</t>
  </si>
  <si>
    <t>% of stories with neutral/positive sentiment</t>
  </si>
  <si>
    <t># of press hosted</t>
  </si>
  <si>
    <t>POAP's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</si>
</sst>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mm\ d\,\ yyyy"/>
  </numFmts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2"/>
      <color rgb="FFFFFFFF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9"/>
      <color rgb="FF333333"/>
      <name val="Arial"/>
    </font>
    <font>
      <sz val="9"/>
      <color rgb="FF666666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3" fontId="5" fillId="6" borderId="2" xfId="0" applyNumberFormat="1" applyFont="1" applyFill="1" applyBorder="1" applyAlignment="1">
      <alignment horizontal="left"/>
    </xf>
    <xf numFmtId="3" fontId="5" fillId="6" borderId="2" xfId="0" applyNumberFormat="1" applyFont="1" applyFill="1" applyBorder="1" applyAlignment="1">
      <alignment horizontal="center"/>
    </xf>
    <xf numFmtId="3" fontId="6" fillId="6" borderId="2" xfId="0" applyNumberFormat="1" applyFont="1" applyFill="1" applyBorder="1" applyAlignment="1">
      <alignment horizontal="center"/>
    </xf>
    <xf numFmtId="3" fontId="6" fillId="6" borderId="2" xfId="0" applyNumberFormat="1" applyFont="1" applyFill="1" applyBorder="1" applyAlignment="1">
      <alignment horizontal="left"/>
    </xf>
    <xf numFmtId="3" fontId="7" fillId="7" borderId="2" xfId="0" applyNumberFormat="1" applyFont="1" applyFill="1" applyBorder="1" applyAlignment="1">
      <alignment wrapText="1"/>
    </xf>
    <xf numFmtId="3" fontId="7" fillId="7" borderId="2" xfId="0" applyNumberFormat="1" applyFont="1" applyFill="1" applyBorder="1" applyAlignment="1">
      <alignment horizontal="center" wrapText="1"/>
    </xf>
    <xf numFmtId="3" fontId="6" fillId="7" borderId="2" xfId="0" applyNumberFormat="1" applyFont="1" applyFill="1" applyBorder="1" applyAlignment="1">
      <alignment horizontal="center" wrapText="1"/>
    </xf>
    <xf numFmtId="3" fontId="6" fillId="7" borderId="2" xfId="0" applyNumberFormat="1" applyFont="1" applyFill="1" applyBorder="1" applyAlignment="1">
      <alignment horizontal="left" wrapText="1"/>
    </xf>
    <xf numFmtId="3" fontId="8" fillId="8" borderId="2" xfId="0" applyNumberFormat="1" applyFont="1" applyFill="1" applyBorder="1" applyAlignment="1">
      <alignment wrapText="1"/>
    </xf>
    <xf numFmtId="3" fontId="6" fillId="9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left"/>
    </xf>
    <xf numFmtId="0" fontId="9" fillId="0" borderId="2" xfId="0" applyFont="1" applyBorder="1"/>
    <xf numFmtId="3" fontId="6" fillId="10" borderId="2" xfId="0" applyNumberFormat="1" applyFont="1" applyFill="1" applyBorder="1" applyAlignment="1">
      <alignment horizontal="left"/>
    </xf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/>
    <xf numFmtId="3" fontId="6" fillId="11" borderId="2" xfId="0" applyNumberFormat="1" applyFont="1" applyFill="1" applyBorder="1" applyAlignment="1">
      <alignment horizontal="center"/>
    </xf>
    <xf numFmtId="3" fontId="8" fillId="8" borderId="2" xfId="0" applyNumberFormat="1" applyFont="1" applyFill="1" applyBorder="1"/>
    <xf numFmtId="3" fontId="10" fillId="0" borderId="2" xfId="0" applyNumberFormat="1" applyFont="1" applyBorder="1"/>
    <xf numFmtId="3" fontId="10" fillId="10" borderId="2" xfId="0" applyNumberFormat="1" applyFont="1" applyFill="1" applyBorder="1"/>
    <xf numFmtId="3" fontId="9" fillId="0" borderId="0" xfId="0" applyNumberFormat="1" applyFont="1"/>
    <xf numFmtId="3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3" fontId="8" fillId="8" borderId="2" xfId="0" applyNumberFormat="1" applyFont="1" applyFill="1" applyBorder="1" applyAlignment="1">
      <alignment horizontal="center" wrapText="1"/>
    </xf>
    <xf numFmtId="3" fontId="6" fillId="0" borderId="10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165" fontId="12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11" fillId="0" borderId="0" xfId="0" applyFont="1"/>
    <xf numFmtId="0" fontId="6" fillId="0" borderId="0" xfId="0" applyFont="1" applyAlignment="1">
      <alignment horizontal="right"/>
    </xf>
    <xf numFmtId="0" fontId="9" fillId="0" borderId="2" xfId="0" applyFont="1" applyBorder="1" applyAlignment="1">
      <alignment horizontal="right"/>
    </xf>
    <xf numFmtId="10" fontId="9" fillId="0" borderId="2" xfId="0" applyNumberFormat="1" applyFont="1" applyBorder="1" applyAlignment="1">
      <alignment horizontal="right"/>
    </xf>
    <xf numFmtId="9" fontId="9" fillId="0" borderId="2" xfId="0" applyNumberFormat="1" applyFont="1" applyBorder="1" applyAlignment="1">
      <alignment horizontal="right"/>
    </xf>
    <xf numFmtId="3" fontId="7" fillId="7" borderId="5" xfId="0" applyNumberFormat="1" applyFont="1" applyFill="1" applyBorder="1" applyAlignment="1">
      <alignment wrapText="1"/>
    </xf>
    <xf numFmtId="3" fontId="7" fillId="7" borderId="6" xfId="0" applyNumberFormat="1" applyFont="1" applyFill="1" applyBorder="1" applyAlignment="1">
      <alignment horizontal="center" wrapText="1"/>
    </xf>
    <xf numFmtId="3" fontId="6" fillId="7" borderId="6" xfId="0" applyNumberFormat="1" applyFont="1" applyFill="1" applyBorder="1" applyAlignment="1">
      <alignment horizontal="center" wrapText="1"/>
    </xf>
    <xf numFmtId="3" fontId="6" fillId="7" borderId="10" xfId="0" applyNumberFormat="1" applyFont="1" applyFill="1" applyBorder="1" applyAlignment="1">
      <alignment horizontal="center" wrapText="1"/>
    </xf>
    <xf numFmtId="3" fontId="6" fillId="7" borderId="10" xfId="0" applyNumberFormat="1" applyFont="1" applyFill="1" applyBorder="1" applyAlignment="1">
      <alignment horizontal="left" wrapText="1"/>
    </xf>
    <xf numFmtId="3" fontId="6" fillId="7" borderId="11" xfId="0" applyNumberFormat="1" applyFont="1" applyFill="1" applyBorder="1" applyAlignment="1">
      <alignment horizontal="left" wrapText="1"/>
    </xf>
    <xf numFmtId="3" fontId="6" fillId="0" borderId="5" xfId="0" applyNumberFormat="1" applyFont="1" applyBorder="1"/>
    <xf numFmtId="3" fontId="6" fillId="0" borderId="7" xfId="0" applyNumberFormat="1" applyFont="1" applyBorder="1" applyAlignment="1">
      <alignment horizontal="center"/>
    </xf>
    <xf numFmtId="3" fontId="6" fillId="7" borderId="5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3" fontId="2" fillId="4" borderId="8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3" fillId="0" borderId="9" xfId="0" applyFont="1" applyBorder="1" applyAlignment="1"/>
    <xf numFmtId="0" fontId="0" fillId="0" borderId="0" xfId="0" applyAlignme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2" fillId="3" borderId="12" xfId="0" applyNumberFormat="1" applyFont="1" applyFill="1" applyBorder="1" applyAlignment="1">
      <alignment horizontal="center" vertical="center"/>
    </xf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55"/>
  <sheetViews>
    <sheetView tabSelected="1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2.5703125" defaultRowHeight="15.75" customHeight="1"/>
  <cols>
    <col min="1" max="1" width="38.140625" customWidth="1"/>
    <col min="2" max="2" width="20.5703125" customWidth="1"/>
    <col min="3" max="7" width="9.7109375" customWidth="1"/>
    <col min="8" max="9" width="8.42578125" customWidth="1"/>
    <col min="10" max="10" width="8.42578125" hidden="1" customWidth="1"/>
    <col min="12" max="12" width="18.85546875" customWidth="1"/>
    <col min="13" max="13" width="85" customWidth="1"/>
  </cols>
  <sheetData>
    <row r="1" spans="1:13">
      <c r="A1" s="55" t="s">
        <v>0</v>
      </c>
      <c r="B1" s="56" t="s">
        <v>1</v>
      </c>
      <c r="C1" s="1"/>
      <c r="D1" s="1"/>
      <c r="E1" s="1"/>
      <c r="F1" s="1" t="s">
        <v>2</v>
      </c>
      <c r="G1" s="1"/>
      <c r="H1" s="1"/>
      <c r="I1" s="1"/>
      <c r="J1" s="1"/>
      <c r="K1" s="60" t="s">
        <v>3</v>
      </c>
      <c r="L1" s="61" t="s">
        <v>4</v>
      </c>
      <c r="M1" s="62" t="s">
        <v>5</v>
      </c>
    </row>
    <row r="2" spans="1:13">
      <c r="A2" s="63"/>
      <c r="B2" s="63"/>
      <c r="C2" s="2">
        <v>12</v>
      </c>
      <c r="D2" s="2">
        <v>13</v>
      </c>
      <c r="E2" s="2">
        <v>14</v>
      </c>
      <c r="F2" s="2">
        <v>15</v>
      </c>
      <c r="G2" s="2">
        <v>16</v>
      </c>
      <c r="H2" s="2">
        <v>17</v>
      </c>
      <c r="I2" s="2">
        <v>18</v>
      </c>
      <c r="J2" s="2">
        <v>11</v>
      </c>
      <c r="K2" s="63"/>
      <c r="L2" s="63"/>
      <c r="M2" s="63"/>
    </row>
    <row r="3" spans="1:13">
      <c r="A3" s="64"/>
      <c r="B3" s="64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12</v>
      </c>
      <c r="K3" s="64"/>
      <c r="L3" s="64"/>
      <c r="M3" s="64"/>
    </row>
    <row r="4" spans="1:13">
      <c r="A4" s="3" t="s">
        <v>13</v>
      </c>
      <c r="B4" s="4"/>
      <c r="C4" s="5"/>
      <c r="D4" s="5"/>
      <c r="E4" s="5"/>
      <c r="F4" s="5"/>
      <c r="G4" s="5"/>
      <c r="H4" s="5"/>
      <c r="I4" s="5"/>
      <c r="J4" s="5"/>
      <c r="K4" s="5"/>
      <c r="L4" s="6"/>
      <c r="M4" s="6"/>
    </row>
    <row r="5" spans="1:13">
      <c r="A5" s="7" t="s">
        <v>14</v>
      </c>
      <c r="B5" s="8"/>
      <c r="C5" s="9"/>
      <c r="D5" s="9"/>
      <c r="E5" s="9"/>
      <c r="F5" s="9"/>
      <c r="G5" s="9"/>
      <c r="H5" s="9"/>
      <c r="I5" s="9"/>
      <c r="J5" s="9"/>
      <c r="K5" s="9"/>
      <c r="L5" s="10"/>
      <c r="M5" s="10"/>
    </row>
    <row r="6" spans="1:13">
      <c r="A6" s="11" t="s">
        <v>15</v>
      </c>
      <c r="B6" s="12" t="s">
        <v>16</v>
      </c>
      <c r="C6" s="13">
        <v>973</v>
      </c>
      <c r="D6" s="13">
        <v>1412</v>
      </c>
      <c r="E6" s="13">
        <v>2243</v>
      </c>
      <c r="F6" s="13">
        <v>3227</v>
      </c>
      <c r="G6" s="13">
        <v>3379</v>
      </c>
      <c r="H6" s="13">
        <v>3822</v>
      </c>
      <c r="I6" s="13">
        <v>3247</v>
      </c>
      <c r="J6" s="13"/>
      <c r="K6" s="13">
        <f t="shared" ref="K6:K8" si="0">SUM(C6:J6)</f>
        <v>18303</v>
      </c>
      <c r="L6" s="13" t="s">
        <v>17</v>
      </c>
      <c r="M6" s="14"/>
    </row>
    <row r="7" spans="1:13">
      <c r="A7" s="11" t="s">
        <v>18</v>
      </c>
      <c r="B7" s="12" t="s">
        <v>16</v>
      </c>
      <c r="C7" s="13">
        <v>31</v>
      </c>
      <c r="D7" s="13">
        <v>51</v>
      </c>
      <c r="E7" s="13">
        <v>89</v>
      </c>
      <c r="F7" s="13">
        <v>129</v>
      </c>
      <c r="G7" s="13">
        <v>121</v>
      </c>
      <c r="H7" s="13">
        <v>117</v>
      </c>
      <c r="I7" s="13">
        <v>81</v>
      </c>
      <c r="J7" s="13"/>
      <c r="K7" s="13">
        <f t="shared" si="0"/>
        <v>619</v>
      </c>
      <c r="L7" s="13" t="s">
        <v>17</v>
      </c>
      <c r="M7" s="14"/>
    </row>
    <row r="8" spans="1:13">
      <c r="A8" s="11" t="s">
        <v>19</v>
      </c>
      <c r="B8" s="13" t="s">
        <v>20</v>
      </c>
      <c r="C8" s="13">
        <v>614</v>
      </c>
      <c r="D8" s="13">
        <v>942</v>
      </c>
      <c r="E8" s="13">
        <v>1444</v>
      </c>
      <c r="F8" s="13">
        <v>2094</v>
      </c>
      <c r="G8" s="13">
        <v>2174</v>
      </c>
      <c r="H8" s="13">
        <v>2466</v>
      </c>
      <c r="I8" s="13">
        <v>2110</v>
      </c>
      <c r="J8" s="15"/>
      <c r="K8" s="13">
        <f t="shared" si="0"/>
        <v>11844</v>
      </c>
      <c r="L8" s="13" t="s">
        <v>21</v>
      </c>
      <c r="M8" s="16" t="s">
        <v>22</v>
      </c>
    </row>
    <row r="9" spans="1:13">
      <c r="A9" s="11" t="s">
        <v>23</v>
      </c>
      <c r="B9" s="13" t="s">
        <v>24</v>
      </c>
      <c r="C9" s="13">
        <v>137</v>
      </c>
      <c r="D9" s="13">
        <v>198</v>
      </c>
      <c r="E9" s="13">
        <v>424</v>
      </c>
      <c r="F9" s="13">
        <v>568</v>
      </c>
      <c r="G9" s="13">
        <v>579</v>
      </c>
      <c r="H9" s="13">
        <v>626</v>
      </c>
      <c r="I9" s="13">
        <v>550</v>
      </c>
      <c r="J9" s="13"/>
      <c r="K9" s="13">
        <f>SUM(C9:I9)</f>
        <v>3082</v>
      </c>
      <c r="L9" s="13" t="s">
        <v>21</v>
      </c>
      <c r="M9" s="14"/>
    </row>
    <row r="10" spans="1:13">
      <c r="A10" s="11" t="s">
        <v>25</v>
      </c>
      <c r="B10" s="13" t="s">
        <v>26</v>
      </c>
      <c r="C10" s="17"/>
      <c r="D10" s="17"/>
      <c r="E10" s="17"/>
      <c r="F10" s="17"/>
      <c r="G10" s="17"/>
      <c r="H10" s="17"/>
      <c r="I10" s="17"/>
      <c r="J10" s="13"/>
      <c r="K10" s="17">
        <v>2320</v>
      </c>
      <c r="L10" s="13" t="s">
        <v>21</v>
      </c>
      <c r="M10" s="16" t="s">
        <v>27</v>
      </c>
    </row>
    <row r="11" spans="1:13">
      <c r="A11" s="11" t="s">
        <v>28</v>
      </c>
      <c r="B11" s="13" t="s">
        <v>20</v>
      </c>
      <c r="C11" s="13">
        <f>8+303</f>
        <v>311</v>
      </c>
      <c r="D11" s="13">
        <f>12+435</f>
        <v>447</v>
      </c>
      <c r="E11" s="13">
        <f>24+693</f>
        <v>717</v>
      </c>
      <c r="F11" s="13">
        <f>40+964</f>
        <v>1004</v>
      </c>
      <c r="G11" s="13">
        <f>31+1054</f>
        <v>1085</v>
      </c>
      <c r="H11" s="13">
        <f>36+1202</f>
        <v>1238</v>
      </c>
      <c r="I11" s="13">
        <f>34+1022</f>
        <v>1056</v>
      </c>
      <c r="J11" s="13"/>
      <c r="K11" s="13">
        <f>SUM(C11:J11)</f>
        <v>5858</v>
      </c>
      <c r="L11" s="13" t="s">
        <v>21</v>
      </c>
      <c r="M11" s="14"/>
    </row>
    <row r="12" spans="1:13">
      <c r="A12" s="7" t="s">
        <v>29</v>
      </c>
      <c r="B12" s="8"/>
      <c r="C12" s="9"/>
      <c r="D12" s="9"/>
      <c r="E12" s="9"/>
      <c r="F12" s="9"/>
      <c r="G12" s="54"/>
      <c r="H12" s="65"/>
      <c r="I12" s="65"/>
      <c r="J12" s="66"/>
      <c r="K12" s="9"/>
      <c r="L12" s="10"/>
      <c r="M12" s="10"/>
    </row>
    <row r="13" spans="1:13">
      <c r="A13" s="18" t="s">
        <v>30</v>
      </c>
      <c r="B13" s="12" t="s">
        <v>16</v>
      </c>
      <c r="C13" s="13">
        <v>28</v>
      </c>
      <c r="D13" s="13">
        <v>51</v>
      </c>
      <c r="E13" s="13">
        <v>85</v>
      </c>
      <c r="F13" s="13">
        <v>118</v>
      </c>
      <c r="G13" s="13">
        <v>90</v>
      </c>
      <c r="H13" s="13">
        <v>87</v>
      </c>
      <c r="I13" s="13">
        <v>96</v>
      </c>
      <c r="J13" s="13"/>
      <c r="K13" s="13">
        <f>SUM(C13:J13)</f>
        <v>555</v>
      </c>
      <c r="L13" s="13" t="s">
        <v>17</v>
      </c>
      <c r="M13" s="14"/>
    </row>
    <row r="14" spans="1:13">
      <c r="A14" s="7" t="s">
        <v>31</v>
      </c>
      <c r="B14" s="8"/>
      <c r="C14" s="9"/>
      <c r="D14" s="9"/>
      <c r="E14" s="9"/>
      <c r="F14" s="9"/>
      <c r="G14" s="54"/>
      <c r="H14" s="65"/>
      <c r="I14" s="65"/>
      <c r="J14" s="66"/>
      <c r="K14" s="9"/>
      <c r="L14" s="10"/>
      <c r="M14" s="10"/>
    </row>
    <row r="15" spans="1:13">
      <c r="A15" s="18" t="s">
        <v>30</v>
      </c>
      <c r="B15" s="12" t="s">
        <v>16</v>
      </c>
      <c r="C15" s="13">
        <v>48</v>
      </c>
      <c r="D15" s="13">
        <v>92</v>
      </c>
      <c r="E15" s="13">
        <v>111</v>
      </c>
      <c r="F15" s="13">
        <v>98</v>
      </c>
      <c r="G15" s="13">
        <v>318</v>
      </c>
      <c r="H15" s="13">
        <v>174</v>
      </c>
      <c r="I15" s="13">
        <v>207</v>
      </c>
      <c r="J15" s="13"/>
      <c r="K15" s="13">
        <f t="shared" ref="K15:K20" si="1">SUM(C15:J15)</f>
        <v>1048</v>
      </c>
      <c r="L15" s="13" t="s">
        <v>17</v>
      </c>
      <c r="M15" s="14"/>
    </row>
    <row r="16" spans="1:13">
      <c r="A16" s="18" t="s">
        <v>32</v>
      </c>
      <c r="B16" s="13" t="s">
        <v>33</v>
      </c>
      <c r="C16" s="13">
        <v>78</v>
      </c>
      <c r="D16" s="13">
        <v>76</v>
      </c>
      <c r="E16" s="13">
        <v>120</v>
      </c>
      <c r="F16" s="13">
        <v>131</v>
      </c>
      <c r="G16" s="13">
        <v>143</v>
      </c>
      <c r="H16" s="13">
        <v>184</v>
      </c>
      <c r="I16" s="13">
        <v>207</v>
      </c>
      <c r="J16" s="13"/>
      <c r="K16" s="13">
        <f t="shared" si="1"/>
        <v>939</v>
      </c>
      <c r="L16" s="13" t="s">
        <v>17</v>
      </c>
      <c r="M16" s="16" t="s">
        <v>34</v>
      </c>
    </row>
    <row r="17" spans="1:13">
      <c r="A17" s="18" t="s">
        <v>35</v>
      </c>
      <c r="B17" s="13" t="s">
        <v>33</v>
      </c>
      <c r="C17" s="13">
        <v>64</v>
      </c>
      <c r="D17" s="13">
        <v>38</v>
      </c>
      <c r="E17" s="13">
        <v>53</v>
      </c>
      <c r="F17" s="13">
        <v>48</v>
      </c>
      <c r="G17" s="13">
        <v>47</v>
      </c>
      <c r="H17" s="13">
        <v>39</v>
      </c>
      <c r="I17" s="13">
        <v>61</v>
      </c>
      <c r="J17" s="13"/>
      <c r="K17" s="13">
        <f t="shared" si="1"/>
        <v>350</v>
      </c>
      <c r="L17" s="13" t="s">
        <v>17</v>
      </c>
      <c r="M17" s="16" t="s">
        <v>36</v>
      </c>
    </row>
    <row r="18" spans="1:13">
      <c r="A18" s="18" t="s">
        <v>37</v>
      </c>
      <c r="B18" s="13" t="s">
        <v>38</v>
      </c>
      <c r="C18" s="17"/>
      <c r="D18" s="17"/>
      <c r="E18" s="17"/>
      <c r="F18" s="17"/>
      <c r="G18" s="17"/>
      <c r="H18" s="17"/>
      <c r="I18" s="17"/>
      <c r="J18" s="13"/>
      <c r="K18" s="13">
        <f t="shared" si="1"/>
        <v>0</v>
      </c>
      <c r="L18" s="13" t="s">
        <v>17</v>
      </c>
      <c r="M18" s="14"/>
    </row>
    <row r="19" spans="1:13">
      <c r="A19" s="18" t="s">
        <v>39</v>
      </c>
      <c r="B19" s="13" t="s">
        <v>38</v>
      </c>
      <c r="C19" s="17"/>
      <c r="D19" s="17"/>
      <c r="E19" s="17"/>
      <c r="F19" s="17"/>
      <c r="G19" s="17"/>
      <c r="H19" s="17"/>
      <c r="I19" s="17"/>
      <c r="J19" s="13"/>
      <c r="K19" s="13">
        <f t="shared" si="1"/>
        <v>0</v>
      </c>
      <c r="L19" s="13" t="s">
        <v>17</v>
      </c>
      <c r="M19" s="14"/>
    </row>
    <row r="20" spans="1:13">
      <c r="A20" s="18" t="s">
        <v>40</v>
      </c>
      <c r="B20" s="13" t="s">
        <v>33</v>
      </c>
      <c r="C20" s="17"/>
      <c r="D20" s="17"/>
      <c r="E20" s="17"/>
      <c r="F20" s="17"/>
      <c r="G20" s="17"/>
      <c r="H20" s="17"/>
      <c r="I20" s="17"/>
      <c r="J20" s="13"/>
      <c r="K20" s="13">
        <f t="shared" si="1"/>
        <v>0</v>
      </c>
      <c r="L20" s="13" t="s">
        <v>17</v>
      </c>
      <c r="M20" s="14"/>
    </row>
    <row r="21" spans="1:13">
      <c r="A21" s="7" t="s">
        <v>41</v>
      </c>
      <c r="B21" s="8"/>
      <c r="C21" s="9"/>
      <c r="D21" s="9"/>
      <c r="E21" s="9"/>
      <c r="F21" s="9"/>
      <c r="G21" s="54"/>
      <c r="H21" s="65"/>
      <c r="I21" s="65"/>
      <c r="J21" s="66"/>
      <c r="K21" s="9"/>
      <c r="L21" s="10"/>
      <c r="M21" s="10"/>
    </row>
    <row r="22" spans="1:13">
      <c r="A22" s="18" t="s">
        <v>42</v>
      </c>
      <c r="B22" s="13" t="s">
        <v>20</v>
      </c>
      <c r="C22" s="13" t="s">
        <v>43</v>
      </c>
      <c r="D22" s="13" t="s">
        <v>43</v>
      </c>
      <c r="E22" s="13" t="s">
        <v>43</v>
      </c>
      <c r="F22" s="13">
        <v>651</v>
      </c>
      <c r="G22" s="13">
        <v>567</v>
      </c>
      <c r="H22" s="13">
        <v>860</v>
      </c>
      <c r="I22" s="13">
        <v>950</v>
      </c>
      <c r="J22" s="13"/>
      <c r="K22" s="13">
        <f t="shared" ref="K22:K29" si="2">SUM(C22:J22)</f>
        <v>3028</v>
      </c>
      <c r="L22" s="13" t="s">
        <v>21</v>
      </c>
      <c r="M22" s="15"/>
    </row>
    <row r="23" spans="1:13">
      <c r="A23" s="18" t="s">
        <v>44</v>
      </c>
      <c r="B23" s="13" t="s">
        <v>20</v>
      </c>
      <c r="C23" s="13">
        <v>32</v>
      </c>
      <c r="D23" s="13">
        <v>77</v>
      </c>
      <c r="E23" s="13">
        <v>139</v>
      </c>
      <c r="F23" s="13">
        <v>221</v>
      </c>
      <c r="G23" s="13">
        <v>214</v>
      </c>
      <c r="H23" s="13">
        <v>179</v>
      </c>
      <c r="I23" s="13">
        <v>178</v>
      </c>
      <c r="J23" s="13"/>
      <c r="K23" s="13">
        <f t="shared" si="2"/>
        <v>1040</v>
      </c>
      <c r="L23" s="13" t="s">
        <v>21</v>
      </c>
      <c r="M23" s="14"/>
    </row>
    <row r="24" spans="1:13">
      <c r="A24" s="18" t="s">
        <v>45</v>
      </c>
      <c r="B24" s="13" t="s">
        <v>20</v>
      </c>
      <c r="C24" s="17"/>
      <c r="D24" s="17"/>
      <c r="E24" s="17"/>
      <c r="F24" s="17"/>
      <c r="G24" s="17"/>
      <c r="H24" s="17"/>
      <c r="I24" s="17"/>
      <c r="J24" s="13"/>
      <c r="K24" s="13">
        <f t="shared" si="2"/>
        <v>0</v>
      </c>
      <c r="L24" s="13" t="s">
        <v>21</v>
      </c>
      <c r="M24" s="16" t="s">
        <v>46</v>
      </c>
    </row>
    <row r="25" spans="1:13">
      <c r="A25" s="18" t="s">
        <v>47</v>
      </c>
      <c r="B25" s="12" t="s">
        <v>16</v>
      </c>
      <c r="C25" s="13">
        <v>363</v>
      </c>
      <c r="D25" s="13">
        <v>1185</v>
      </c>
      <c r="E25" s="13">
        <v>1297</v>
      </c>
      <c r="F25" s="13">
        <v>1778</v>
      </c>
      <c r="G25" s="13">
        <v>2977</v>
      </c>
      <c r="H25" s="13">
        <v>2219</v>
      </c>
      <c r="I25" s="13">
        <v>2306</v>
      </c>
      <c r="J25" s="13"/>
      <c r="K25" s="13">
        <f t="shared" si="2"/>
        <v>12125</v>
      </c>
      <c r="L25" s="13" t="s">
        <v>17</v>
      </c>
      <c r="M25" s="14"/>
    </row>
    <row r="26" spans="1:13">
      <c r="A26" s="18" t="s">
        <v>48</v>
      </c>
      <c r="B26" s="13" t="s">
        <v>20</v>
      </c>
      <c r="C26" s="13" t="s">
        <v>43</v>
      </c>
      <c r="D26" s="13" t="s">
        <v>43</v>
      </c>
      <c r="E26" s="19">
        <v>3</v>
      </c>
      <c r="F26" s="13">
        <v>394</v>
      </c>
      <c r="G26" s="13">
        <v>338</v>
      </c>
      <c r="H26" s="13">
        <v>486</v>
      </c>
      <c r="I26" s="13">
        <v>351</v>
      </c>
      <c r="J26" s="13"/>
      <c r="K26" s="13">
        <f t="shared" si="2"/>
        <v>1572</v>
      </c>
      <c r="L26" s="13" t="s">
        <v>21</v>
      </c>
      <c r="M26" s="16" t="s">
        <v>49</v>
      </c>
    </row>
    <row r="27" spans="1:13">
      <c r="A27" s="18" t="s">
        <v>50</v>
      </c>
      <c r="B27" s="13" t="s">
        <v>20</v>
      </c>
      <c r="C27" s="13">
        <v>50</v>
      </c>
      <c r="D27" s="13">
        <v>63</v>
      </c>
      <c r="E27" s="13">
        <v>92</v>
      </c>
      <c r="F27" s="13">
        <v>129</v>
      </c>
      <c r="G27" s="13">
        <v>178</v>
      </c>
      <c r="H27" s="13">
        <v>171</v>
      </c>
      <c r="I27" s="13">
        <v>134</v>
      </c>
      <c r="J27" s="13"/>
      <c r="K27" s="13">
        <f t="shared" si="2"/>
        <v>817</v>
      </c>
      <c r="L27" s="13" t="s">
        <v>21</v>
      </c>
      <c r="M27" s="14"/>
    </row>
    <row r="28" spans="1:13">
      <c r="A28" s="18" t="s">
        <v>51</v>
      </c>
      <c r="B28" s="13" t="s">
        <v>20</v>
      </c>
      <c r="C28" s="17"/>
      <c r="D28" s="17"/>
      <c r="E28" s="17"/>
      <c r="F28" s="17"/>
      <c r="G28" s="17"/>
      <c r="H28" s="17"/>
      <c r="I28" s="17"/>
      <c r="J28" s="13"/>
      <c r="K28" s="13">
        <f t="shared" si="2"/>
        <v>0</v>
      </c>
      <c r="L28" s="13" t="s">
        <v>21</v>
      </c>
      <c r="M28" s="16" t="s">
        <v>46</v>
      </c>
    </row>
    <row r="29" spans="1:13">
      <c r="A29" s="18" t="s">
        <v>52</v>
      </c>
      <c r="B29" s="12" t="s">
        <v>16</v>
      </c>
      <c r="C29" s="13">
        <v>350</v>
      </c>
      <c r="D29" s="13">
        <v>589</v>
      </c>
      <c r="E29" s="13">
        <v>809</v>
      </c>
      <c r="F29" s="13">
        <v>1285</v>
      </c>
      <c r="G29" s="13">
        <v>1603</v>
      </c>
      <c r="H29" s="13">
        <v>2110</v>
      </c>
      <c r="I29" s="13">
        <v>2105</v>
      </c>
      <c r="J29" s="13"/>
      <c r="K29" s="13">
        <f t="shared" si="2"/>
        <v>8851</v>
      </c>
      <c r="L29" s="13" t="s">
        <v>17</v>
      </c>
      <c r="M29" s="14"/>
    </row>
    <row r="30" spans="1:13">
      <c r="A30" s="7" t="s">
        <v>53</v>
      </c>
      <c r="B30" s="8"/>
      <c r="C30" s="9"/>
      <c r="D30" s="9"/>
      <c r="E30" s="9"/>
      <c r="F30" s="9"/>
      <c r="G30" s="54"/>
      <c r="H30" s="65"/>
      <c r="I30" s="65"/>
      <c r="J30" s="66"/>
      <c r="K30" s="9"/>
      <c r="L30" s="10"/>
      <c r="M30" s="10"/>
    </row>
    <row r="31" spans="1:13">
      <c r="A31" s="20" t="s">
        <v>54</v>
      </c>
      <c r="B31" s="12" t="s">
        <v>16</v>
      </c>
      <c r="C31" s="13">
        <v>303</v>
      </c>
      <c r="D31" s="13">
        <v>509</v>
      </c>
      <c r="E31" s="13">
        <v>177</v>
      </c>
      <c r="F31" s="13">
        <v>179</v>
      </c>
      <c r="G31" s="13">
        <v>316</v>
      </c>
      <c r="H31" s="13">
        <v>317</v>
      </c>
      <c r="I31" s="13">
        <v>395</v>
      </c>
      <c r="J31" s="13"/>
      <c r="K31" s="13">
        <f t="shared" ref="K31:K32" si="3">SUM(C31:J31)</f>
        <v>2196</v>
      </c>
      <c r="L31" s="13" t="s">
        <v>17</v>
      </c>
      <c r="M31" s="14"/>
    </row>
    <row r="32" spans="1:13">
      <c r="A32" s="20" t="s">
        <v>55</v>
      </c>
      <c r="B32" s="12" t="s">
        <v>16</v>
      </c>
      <c r="C32" s="13">
        <v>15</v>
      </c>
      <c r="D32" s="13">
        <v>51</v>
      </c>
      <c r="E32" s="13">
        <v>55</v>
      </c>
      <c r="F32" s="13">
        <v>58</v>
      </c>
      <c r="G32" s="13">
        <v>45</v>
      </c>
      <c r="H32" s="13">
        <v>74</v>
      </c>
      <c r="I32" s="13">
        <v>45</v>
      </c>
      <c r="J32" s="13"/>
      <c r="K32" s="13">
        <f t="shared" si="3"/>
        <v>343</v>
      </c>
      <c r="L32" s="13" t="s">
        <v>17</v>
      </c>
      <c r="M32" s="14"/>
    </row>
    <row r="33" spans="1:13">
      <c r="A33" s="7" t="s">
        <v>56</v>
      </c>
      <c r="B33" s="8"/>
      <c r="C33" s="9"/>
      <c r="D33" s="9"/>
      <c r="E33" s="9"/>
      <c r="F33" s="9"/>
      <c r="G33" s="54"/>
      <c r="H33" s="65"/>
      <c r="I33" s="65"/>
      <c r="J33" s="66"/>
      <c r="K33" s="9"/>
      <c r="L33" s="10"/>
      <c r="M33" s="10"/>
    </row>
    <row r="34" spans="1:13">
      <c r="A34" s="18" t="s">
        <v>57</v>
      </c>
      <c r="B34" s="13" t="s">
        <v>20</v>
      </c>
      <c r="C34" s="13" t="s">
        <v>43</v>
      </c>
      <c r="D34" s="13" t="s">
        <v>43</v>
      </c>
      <c r="E34" s="13" t="s">
        <v>43</v>
      </c>
      <c r="F34" s="13">
        <v>284</v>
      </c>
      <c r="G34" s="13">
        <v>276</v>
      </c>
      <c r="H34" s="13">
        <v>370</v>
      </c>
      <c r="I34" s="13">
        <v>294</v>
      </c>
      <c r="J34" s="13"/>
      <c r="K34" s="13">
        <f t="shared" ref="K34:K42" si="4">SUM(C34:J34)</f>
        <v>1224</v>
      </c>
      <c r="L34" s="13" t="s">
        <v>21</v>
      </c>
      <c r="M34" s="21"/>
    </row>
    <row r="35" spans="1:13">
      <c r="A35" s="18" t="s">
        <v>58</v>
      </c>
      <c r="B35" s="13" t="s">
        <v>20</v>
      </c>
      <c r="C35" s="13" t="s">
        <v>43</v>
      </c>
      <c r="D35" s="13" t="s">
        <v>43</v>
      </c>
      <c r="E35" s="13" t="s">
        <v>43</v>
      </c>
      <c r="F35" s="17"/>
      <c r="G35" s="17"/>
      <c r="H35" s="17"/>
      <c r="I35" s="17"/>
      <c r="J35" s="13"/>
      <c r="K35" s="13">
        <f t="shared" si="4"/>
        <v>0</v>
      </c>
      <c r="L35" s="13" t="s">
        <v>21</v>
      </c>
      <c r="M35" s="22" t="s">
        <v>59</v>
      </c>
    </row>
    <row r="36" spans="1:13">
      <c r="A36" s="18" t="s">
        <v>60</v>
      </c>
      <c r="B36" s="12" t="s">
        <v>16</v>
      </c>
      <c r="C36" s="13" t="s">
        <v>43</v>
      </c>
      <c r="D36" s="13" t="s">
        <v>43</v>
      </c>
      <c r="E36" s="13" t="s">
        <v>43</v>
      </c>
      <c r="F36" s="13">
        <v>52</v>
      </c>
      <c r="G36" s="13">
        <v>46</v>
      </c>
      <c r="H36" s="13">
        <v>77</v>
      </c>
      <c r="I36" s="13">
        <v>162</v>
      </c>
      <c r="J36" s="13"/>
      <c r="K36" s="13">
        <f t="shared" si="4"/>
        <v>337</v>
      </c>
      <c r="L36" s="13" t="s">
        <v>17</v>
      </c>
      <c r="M36" s="21"/>
    </row>
    <row r="37" spans="1:13">
      <c r="A37" s="18" t="s">
        <v>61</v>
      </c>
      <c r="B37" s="13" t="s">
        <v>20</v>
      </c>
      <c r="C37" s="13" t="s">
        <v>43</v>
      </c>
      <c r="D37" s="13" t="s">
        <v>43</v>
      </c>
      <c r="E37" s="13" t="s">
        <v>43</v>
      </c>
      <c r="F37" s="13">
        <v>409</v>
      </c>
      <c r="G37" s="13">
        <v>516</v>
      </c>
      <c r="H37" s="13">
        <v>668</v>
      </c>
      <c r="I37" s="13">
        <v>684</v>
      </c>
      <c r="J37" s="13"/>
      <c r="K37" s="13">
        <f t="shared" si="4"/>
        <v>2277</v>
      </c>
      <c r="L37" s="13" t="s">
        <v>21</v>
      </c>
      <c r="M37" s="21"/>
    </row>
    <row r="38" spans="1:13">
      <c r="A38" s="18" t="s">
        <v>62</v>
      </c>
      <c r="B38" s="13" t="s">
        <v>20</v>
      </c>
      <c r="C38" s="13" t="s">
        <v>43</v>
      </c>
      <c r="D38" s="13" t="s">
        <v>43</v>
      </c>
      <c r="E38" s="13" t="s">
        <v>43</v>
      </c>
      <c r="F38" s="17"/>
      <c r="G38" s="17"/>
      <c r="H38" s="17"/>
      <c r="I38" s="17"/>
      <c r="J38" s="13"/>
      <c r="K38" s="13">
        <f t="shared" si="4"/>
        <v>0</v>
      </c>
      <c r="L38" s="13" t="s">
        <v>21</v>
      </c>
      <c r="M38" s="22" t="s">
        <v>59</v>
      </c>
    </row>
    <row r="39" spans="1:13">
      <c r="A39" s="18" t="s">
        <v>63</v>
      </c>
      <c r="B39" s="12" t="s">
        <v>16</v>
      </c>
      <c r="C39" s="13" t="s">
        <v>43</v>
      </c>
      <c r="D39" s="13" t="s">
        <v>43</v>
      </c>
      <c r="E39" s="13" t="s">
        <v>43</v>
      </c>
      <c r="F39" s="13">
        <v>113</v>
      </c>
      <c r="G39" s="13">
        <v>71</v>
      </c>
      <c r="H39" s="13">
        <v>266</v>
      </c>
      <c r="I39" s="13">
        <v>777</v>
      </c>
      <c r="J39" s="13"/>
      <c r="K39" s="13">
        <f t="shared" si="4"/>
        <v>1227</v>
      </c>
      <c r="L39" s="13" t="s">
        <v>17</v>
      </c>
      <c r="M39" s="21"/>
    </row>
    <row r="40" spans="1:13">
      <c r="A40" s="18" t="s">
        <v>64</v>
      </c>
      <c r="B40" s="13" t="s">
        <v>20</v>
      </c>
      <c r="C40" s="13" t="s">
        <v>43</v>
      </c>
      <c r="D40" s="13" t="s">
        <v>43</v>
      </c>
      <c r="E40" s="13" t="s">
        <v>43</v>
      </c>
      <c r="F40" s="13">
        <v>843</v>
      </c>
      <c r="G40" s="13">
        <v>932</v>
      </c>
      <c r="H40" s="13">
        <v>614</v>
      </c>
      <c r="I40" s="13">
        <v>449</v>
      </c>
      <c r="J40" s="13"/>
      <c r="K40" s="13">
        <f t="shared" si="4"/>
        <v>2838</v>
      </c>
      <c r="L40" s="13" t="s">
        <v>21</v>
      </c>
      <c r="M40" s="21"/>
    </row>
    <row r="41" spans="1:13">
      <c r="A41" s="18" t="s">
        <v>65</v>
      </c>
      <c r="B41" s="13" t="s">
        <v>20</v>
      </c>
      <c r="C41" s="13" t="s">
        <v>43</v>
      </c>
      <c r="D41" s="13" t="s">
        <v>43</v>
      </c>
      <c r="E41" s="13" t="s">
        <v>43</v>
      </c>
      <c r="F41" s="17"/>
      <c r="G41" s="17"/>
      <c r="H41" s="17"/>
      <c r="I41" s="17"/>
      <c r="J41" s="13"/>
      <c r="K41" s="13">
        <f t="shared" si="4"/>
        <v>0</v>
      </c>
      <c r="L41" s="13" t="s">
        <v>21</v>
      </c>
      <c r="M41" s="22" t="s">
        <v>59</v>
      </c>
    </row>
    <row r="42" spans="1:13">
      <c r="A42" s="18" t="s">
        <v>66</v>
      </c>
      <c r="B42" s="12" t="s">
        <v>16</v>
      </c>
      <c r="C42" s="13" t="s">
        <v>43</v>
      </c>
      <c r="D42" s="13" t="s">
        <v>43</v>
      </c>
      <c r="E42" s="13" t="s">
        <v>43</v>
      </c>
      <c r="F42" s="13">
        <v>158</v>
      </c>
      <c r="G42" s="13">
        <v>237</v>
      </c>
      <c r="H42" s="13">
        <v>852</v>
      </c>
      <c r="I42" s="13">
        <v>1043</v>
      </c>
      <c r="J42" s="13"/>
      <c r="K42" s="13">
        <f t="shared" si="4"/>
        <v>2290</v>
      </c>
      <c r="L42" s="13" t="s">
        <v>17</v>
      </c>
      <c r="M42" s="21"/>
    </row>
    <row r="43" spans="1:13">
      <c r="A43" s="7" t="s">
        <v>67</v>
      </c>
      <c r="B43" s="8"/>
      <c r="C43" s="9"/>
      <c r="D43" s="9"/>
      <c r="E43" s="9"/>
      <c r="F43" s="9"/>
      <c r="G43" s="54"/>
      <c r="H43" s="65"/>
      <c r="I43" s="65"/>
      <c r="J43" s="66"/>
      <c r="K43" s="9"/>
      <c r="L43" s="10"/>
      <c r="M43" s="10"/>
    </row>
    <row r="44" spans="1:13">
      <c r="A44" s="18" t="s">
        <v>68</v>
      </c>
      <c r="B44" s="13" t="s">
        <v>67</v>
      </c>
      <c r="C44" s="13">
        <v>196</v>
      </c>
      <c r="D44" s="13">
        <v>238</v>
      </c>
      <c r="E44" s="13">
        <v>413</v>
      </c>
      <c r="F44" s="13">
        <v>771</v>
      </c>
      <c r="G44" s="13">
        <v>893</v>
      </c>
      <c r="H44" s="13">
        <v>915</v>
      </c>
      <c r="I44" s="13">
        <v>852</v>
      </c>
      <c r="J44" s="13"/>
      <c r="K44" s="13">
        <f>SUM(C44:J44)</f>
        <v>4278</v>
      </c>
      <c r="L44" s="13" t="s">
        <v>69</v>
      </c>
      <c r="M44" s="21"/>
    </row>
    <row r="45" spans="1:13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5"/>
      <c r="M45" s="25"/>
    </row>
    <row r="46" spans="1:13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6" t="s">
        <v>70</v>
      </c>
      <c r="L46" s="25"/>
      <c r="M46" s="25"/>
    </row>
    <row r="47" spans="1:13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>
        <f>SUM(K22,K26,K34,K37,K40)</f>
        <v>10939</v>
      </c>
      <c r="L47" s="25" t="s">
        <v>71</v>
      </c>
      <c r="M47" s="25"/>
    </row>
    <row r="48" spans="1:13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>
        <f>669+620</f>
        <v>1289</v>
      </c>
      <c r="L48" s="25" t="s">
        <v>72</v>
      </c>
      <c r="M48" s="25"/>
    </row>
    <row r="49" spans="1:13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>
        <f>SUM(K42,K39,K36)</f>
        <v>3854</v>
      </c>
      <c r="L49" s="25" t="s">
        <v>73</v>
      </c>
      <c r="M49" s="25"/>
    </row>
    <row r="50" spans="1:13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>
        <f>SUM(K47:K49)</f>
        <v>16082</v>
      </c>
      <c r="L50" s="25" t="s">
        <v>74</v>
      </c>
      <c r="M50" s="25"/>
    </row>
    <row r="51" spans="1:13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>
        <f>200*4</f>
        <v>800</v>
      </c>
      <c r="L51" s="25" t="s">
        <v>75</v>
      </c>
      <c r="M51" s="25"/>
    </row>
    <row r="52" spans="1:13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6">
        <f>K50+K51</f>
        <v>16882</v>
      </c>
      <c r="L52" s="27" t="s">
        <v>76</v>
      </c>
      <c r="M52" s="27"/>
    </row>
    <row r="53" spans="1:13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6">
        <f>K52/200</f>
        <v>84.41</v>
      </c>
      <c r="L53" s="27" t="s">
        <v>77</v>
      </c>
      <c r="M53" s="25"/>
    </row>
    <row r="54" spans="1:13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6">
        <f>25000-K52</f>
        <v>8118</v>
      </c>
      <c r="L54" s="27" t="s">
        <v>78</v>
      </c>
      <c r="M54" s="25"/>
    </row>
    <row r="55" spans="1:13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6">
        <f>K54/200</f>
        <v>40.590000000000003</v>
      </c>
      <c r="L55" s="27" t="s">
        <v>79</v>
      </c>
      <c r="M55" s="25"/>
    </row>
  </sheetData>
  <mergeCells count="11">
    <mergeCell ref="K1:K3"/>
    <mergeCell ref="L1:L3"/>
    <mergeCell ref="M1:M3"/>
    <mergeCell ref="G12:J12"/>
    <mergeCell ref="G14:J14"/>
    <mergeCell ref="G21:J21"/>
    <mergeCell ref="G30:J30"/>
    <mergeCell ref="G33:J33"/>
    <mergeCell ref="G43:J43"/>
    <mergeCell ref="A1:A3"/>
    <mergeCell ref="B1:B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"/>
  <sheetViews>
    <sheetView workbookViewId="0"/>
  </sheetViews>
  <sheetFormatPr defaultColWidth="12.5703125" defaultRowHeight="15.75" customHeight="1"/>
  <cols>
    <col min="1" max="1" width="22.42578125" customWidth="1"/>
    <col min="3" max="4" width="16.7109375" customWidth="1"/>
    <col min="5" max="5" width="21" customWidth="1"/>
    <col min="6" max="6" width="25.5703125" customWidth="1"/>
    <col min="7" max="8" width="22.42578125" customWidth="1"/>
  </cols>
  <sheetData>
    <row r="1" spans="1:7">
      <c r="A1" s="55" t="s">
        <v>80</v>
      </c>
      <c r="B1" s="56" t="s">
        <v>1</v>
      </c>
      <c r="C1" s="55" t="s">
        <v>81</v>
      </c>
      <c r="D1" s="55" t="s">
        <v>82</v>
      </c>
      <c r="E1" s="55" t="s">
        <v>83</v>
      </c>
      <c r="F1" s="67" t="s">
        <v>4</v>
      </c>
      <c r="G1" s="68" t="s">
        <v>5</v>
      </c>
    </row>
    <row r="2" spans="1:7">
      <c r="A2" s="64"/>
      <c r="B2" s="64"/>
      <c r="C2" s="64"/>
      <c r="D2" s="64"/>
      <c r="E2" s="64"/>
      <c r="F2" s="69"/>
      <c r="G2" s="70"/>
    </row>
    <row r="3" spans="1:7">
      <c r="A3" s="28" t="s">
        <v>80</v>
      </c>
      <c r="B3" s="13" t="s">
        <v>84</v>
      </c>
      <c r="C3" s="13"/>
      <c r="D3" s="13"/>
      <c r="E3" s="13"/>
      <c r="F3" s="29"/>
      <c r="G3" s="30"/>
    </row>
    <row r="4" spans="1:7">
      <c r="A4" s="28" t="s">
        <v>85</v>
      </c>
      <c r="B4" s="13" t="s">
        <v>86</v>
      </c>
      <c r="C4" s="57"/>
      <c r="D4" s="57"/>
      <c r="E4" s="57"/>
      <c r="F4" s="29"/>
      <c r="G4" s="30"/>
    </row>
    <row r="5" spans="1:7">
      <c r="A5" s="28" t="s">
        <v>87</v>
      </c>
      <c r="B5" s="13" t="s">
        <v>86</v>
      </c>
      <c r="C5" s="63"/>
      <c r="D5" s="63"/>
      <c r="E5" s="63"/>
      <c r="F5" s="29"/>
      <c r="G5" s="30"/>
    </row>
    <row r="6" spans="1:7">
      <c r="A6" s="28" t="s">
        <v>88</v>
      </c>
      <c r="B6" s="13" t="s">
        <v>86</v>
      </c>
      <c r="C6" s="64"/>
      <c r="D6" s="64"/>
      <c r="E6" s="64"/>
      <c r="F6" s="29"/>
      <c r="G6" s="30"/>
    </row>
  </sheetData>
  <mergeCells count="10">
    <mergeCell ref="F1:F2"/>
    <mergeCell ref="G1:G2"/>
    <mergeCell ref="C4:C6"/>
    <mergeCell ref="D4:D6"/>
    <mergeCell ref="E4:E6"/>
    <mergeCell ref="A1:A2"/>
    <mergeCell ref="B1:B2"/>
    <mergeCell ref="C1:C2"/>
    <mergeCell ref="D1:D2"/>
    <mergeCell ref="E1:E2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7"/>
  <sheetViews>
    <sheetView workbookViewId="0"/>
  </sheetViews>
  <sheetFormatPr defaultColWidth="12.5703125" defaultRowHeight="15.75" customHeight="1"/>
  <cols>
    <col min="1" max="1" width="25.28515625" customWidth="1"/>
    <col min="2" max="2" width="25.5703125" customWidth="1"/>
    <col min="3" max="3" width="29" customWidth="1"/>
    <col min="4" max="4" width="28.42578125" customWidth="1"/>
  </cols>
  <sheetData>
    <row r="1" spans="1:13">
      <c r="A1" s="58" t="s">
        <v>89</v>
      </c>
      <c r="B1" s="66"/>
      <c r="C1" s="31" t="s">
        <v>1</v>
      </c>
      <c r="D1" s="31" t="s">
        <v>4</v>
      </c>
    </row>
    <row r="2" spans="1:13">
      <c r="A2" s="28" t="s">
        <v>90</v>
      </c>
      <c r="B2" s="15" t="s">
        <v>91</v>
      </c>
      <c r="C2" s="32" t="s">
        <v>92</v>
      </c>
      <c r="D2" s="33">
        <v>44910</v>
      </c>
    </row>
    <row r="3" spans="1:13">
      <c r="A3" s="28" t="s">
        <v>93</v>
      </c>
      <c r="B3" s="15" t="s">
        <v>91</v>
      </c>
      <c r="C3" s="32" t="s">
        <v>92</v>
      </c>
      <c r="D3" s="33">
        <v>44910</v>
      </c>
    </row>
    <row r="4" spans="1:13">
      <c r="A4" s="28" t="s">
        <v>94</v>
      </c>
      <c r="B4" s="15" t="s">
        <v>91</v>
      </c>
      <c r="C4" s="32" t="s">
        <v>92</v>
      </c>
      <c r="D4" s="33">
        <v>44910</v>
      </c>
    </row>
    <row r="5" spans="1:13">
      <c r="A5" s="28" t="s">
        <v>95</v>
      </c>
      <c r="B5" s="15" t="s">
        <v>91</v>
      </c>
      <c r="C5" s="32" t="s">
        <v>86</v>
      </c>
      <c r="D5" s="33">
        <v>44910</v>
      </c>
    </row>
    <row r="6" spans="1:13">
      <c r="A6" s="28" t="s">
        <v>96</v>
      </c>
      <c r="B6" s="15" t="s">
        <v>91</v>
      </c>
      <c r="C6" s="32" t="s">
        <v>86</v>
      </c>
      <c r="D6" s="33">
        <v>44910</v>
      </c>
    </row>
    <row r="7" spans="1:13">
      <c r="A7" s="28" t="s">
        <v>97</v>
      </c>
      <c r="B7" s="15" t="s">
        <v>91</v>
      </c>
      <c r="C7" s="32" t="s">
        <v>86</v>
      </c>
      <c r="D7" s="33">
        <v>44910</v>
      </c>
    </row>
    <row r="8" spans="1:13">
      <c r="A8" s="28" t="s">
        <v>98</v>
      </c>
      <c r="B8" s="15" t="s">
        <v>99</v>
      </c>
      <c r="C8" s="32" t="s">
        <v>86</v>
      </c>
      <c r="D8" s="33">
        <v>44910</v>
      </c>
    </row>
    <row r="10" spans="1:13">
      <c r="A10" s="34" t="s">
        <v>100</v>
      </c>
    </row>
    <row r="11" spans="1:13">
      <c r="A11" s="35" t="s">
        <v>101</v>
      </c>
      <c r="B11" s="35" t="s">
        <v>102</v>
      </c>
      <c r="C11" s="35" t="s">
        <v>103</v>
      </c>
      <c r="D11" s="35" t="s">
        <v>104</v>
      </c>
      <c r="E11" s="35" t="s">
        <v>105</v>
      </c>
      <c r="F11" s="36" t="s">
        <v>106</v>
      </c>
      <c r="G11" s="36" t="s">
        <v>107</v>
      </c>
      <c r="H11" s="36" t="s">
        <v>108</v>
      </c>
      <c r="I11" s="36" t="s">
        <v>109</v>
      </c>
      <c r="J11" s="36" t="s">
        <v>110</v>
      </c>
      <c r="K11" s="36" t="s">
        <v>111</v>
      </c>
      <c r="L11" s="36" t="s">
        <v>112</v>
      </c>
      <c r="M11" s="36" t="s">
        <v>113</v>
      </c>
    </row>
    <row r="12" spans="1:13">
      <c r="A12" s="37"/>
      <c r="B12" s="38"/>
      <c r="C12" s="37" t="s">
        <v>114</v>
      </c>
      <c r="D12" s="37"/>
      <c r="E12" s="37" t="s">
        <v>115</v>
      </c>
      <c r="F12" s="39"/>
      <c r="G12" s="39"/>
      <c r="H12" s="40"/>
      <c r="I12" s="39"/>
      <c r="J12" s="41"/>
      <c r="K12" s="39"/>
      <c r="L12" s="41"/>
      <c r="M12" s="39"/>
    </row>
    <row r="13" spans="1:13">
      <c r="A13" s="37"/>
      <c r="B13" s="38"/>
      <c r="C13" s="37" t="s">
        <v>114</v>
      </c>
      <c r="D13" s="37"/>
      <c r="E13" s="37" t="s">
        <v>115</v>
      </c>
      <c r="F13" s="39"/>
      <c r="G13" s="39"/>
      <c r="H13" s="40"/>
      <c r="I13" s="39"/>
      <c r="J13" s="41"/>
      <c r="K13" s="39"/>
      <c r="L13" s="41"/>
      <c r="M13" s="39"/>
    </row>
    <row r="14" spans="1:13">
      <c r="A14" s="37"/>
      <c r="B14" s="38"/>
      <c r="C14" s="37" t="s">
        <v>114</v>
      </c>
      <c r="D14" s="37"/>
      <c r="E14" s="37"/>
      <c r="F14" s="39"/>
      <c r="G14" s="39"/>
      <c r="H14" s="40"/>
      <c r="I14" s="39"/>
      <c r="J14" s="41"/>
      <c r="K14" s="39"/>
      <c r="L14" s="41"/>
      <c r="M14" s="39"/>
    </row>
    <row r="15" spans="1:13">
      <c r="A15" s="37"/>
      <c r="B15" s="38"/>
      <c r="C15" s="37" t="s">
        <v>116</v>
      </c>
      <c r="D15" s="37"/>
      <c r="E15" s="37" t="s">
        <v>115</v>
      </c>
      <c r="F15" s="41"/>
      <c r="G15" s="39"/>
      <c r="H15" s="40"/>
      <c r="I15" s="41"/>
      <c r="J15" s="41"/>
      <c r="K15" s="41"/>
      <c r="L15" s="40"/>
      <c r="M15" s="42"/>
    </row>
    <row r="16" spans="1:13">
      <c r="A16" s="37"/>
      <c r="B16" s="38"/>
      <c r="C16" s="37" t="s">
        <v>116</v>
      </c>
      <c r="D16" s="37"/>
      <c r="E16" s="37" t="s">
        <v>115</v>
      </c>
      <c r="F16" s="41"/>
      <c r="G16" s="39"/>
      <c r="H16" s="40"/>
      <c r="I16" s="41"/>
      <c r="J16" s="41"/>
      <c r="K16" s="41"/>
      <c r="L16" s="40"/>
      <c r="M16" s="42"/>
    </row>
    <row r="17" spans="1:13">
      <c r="A17" s="37"/>
      <c r="B17" s="38"/>
      <c r="C17" s="37" t="s">
        <v>116</v>
      </c>
      <c r="D17" s="37"/>
      <c r="E17" s="37" t="s">
        <v>115</v>
      </c>
      <c r="F17" s="41"/>
      <c r="G17" s="39"/>
      <c r="H17" s="40"/>
      <c r="I17" s="41"/>
      <c r="J17" s="41"/>
      <c r="K17" s="41"/>
      <c r="L17" s="40"/>
      <c r="M17" s="42"/>
    </row>
  </sheetData>
  <mergeCells count="1">
    <mergeCell ref="A1:B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"/>
  <sheetViews>
    <sheetView workbookViewId="0"/>
  </sheetViews>
  <sheetFormatPr defaultColWidth="12.5703125" defaultRowHeight="15.75" customHeight="1"/>
  <cols>
    <col min="1" max="1" width="29" customWidth="1"/>
    <col min="2" max="2" width="29.42578125" customWidth="1"/>
    <col min="4" max="4" width="21.28515625" customWidth="1"/>
  </cols>
  <sheetData>
    <row r="1" spans="1:4">
      <c r="A1" s="58" t="s">
        <v>89</v>
      </c>
      <c r="B1" s="66"/>
      <c r="C1" s="31" t="s">
        <v>1</v>
      </c>
      <c r="D1" s="31" t="s">
        <v>4</v>
      </c>
    </row>
    <row r="2" spans="1:4">
      <c r="A2" s="28" t="s">
        <v>117</v>
      </c>
      <c r="B2" s="43"/>
      <c r="C2" s="32" t="s">
        <v>118</v>
      </c>
      <c r="D2" s="32"/>
    </row>
    <row r="3" spans="1:4">
      <c r="A3" s="28" t="s">
        <v>119</v>
      </c>
      <c r="B3" s="44"/>
      <c r="C3" s="32" t="s">
        <v>118</v>
      </c>
      <c r="D3" s="32"/>
    </row>
    <row r="4" spans="1:4">
      <c r="A4" s="28" t="s">
        <v>120</v>
      </c>
      <c r="B4" s="43"/>
      <c r="C4" s="32" t="s">
        <v>118</v>
      </c>
      <c r="D4" s="32"/>
    </row>
    <row r="5" spans="1:4">
      <c r="A5" s="28" t="s">
        <v>121</v>
      </c>
      <c r="B5" s="45"/>
      <c r="C5" s="32" t="s">
        <v>118</v>
      </c>
      <c r="D5" s="32"/>
    </row>
    <row r="6" spans="1:4">
      <c r="A6" s="28" t="s">
        <v>122</v>
      </c>
      <c r="B6" s="43"/>
      <c r="C6" s="32" t="s">
        <v>118</v>
      </c>
      <c r="D6" s="32"/>
    </row>
  </sheetData>
  <mergeCells count="1">
    <mergeCell ref="A1:B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6"/>
  <sheetViews>
    <sheetView workbookViewId="0"/>
  </sheetViews>
  <sheetFormatPr defaultColWidth="12.5703125" defaultRowHeight="15.75" customHeight="1"/>
  <cols>
    <col min="1" max="1" width="28.7109375" customWidth="1"/>
    <col min="10" max="10" width="15.42578125" customWidth="1"/>
    <col min="11" max="11" width="18.85546875" customWidth="1"/>
    <col min="12" max="12" width="18.5703125" customWidth="1"/>
  </cols>
  <sheetData>
    <row r="1" spans="1:12">
      <c r="A1" s="55" t="s">
        <v>0</v>
      </c>
      <c r="B1" s="56" t="s">
        <v>1</v>
      </c>
      <c r="C1" s="1"/>
      <c r="D1" s="1"/>
      <c r="E1" s="1"/>
      <c r="F1" s="71" t="s">
        <v>2</v>
      </c>
      <c r="G1" s="72"/>
      <c r="H1" s="72"/>
      <c r="I1" s="73"/>
      <c r="J1" s="74" t="s">
        <v>3</v>
      </c>
      <c r="K1" s="67" t="s">
        <v>4</v>
      </c>
      <c r="L1" s="68" t="s">
        <v>5</v>
      </c>
    </row>
    <row r="2" spans="1:12">
      <c r="A2" s="63"/>
      <c r="B2" s="63"/>
      <c r="C2" s="2">
        <v>12</v>
      </c>
      <c r="D2" s="2">
        <v>13</v>
      </c>
      <c r="E2" s="2">
        <v>14</v>
      </c>
      <c r="F2" s="2">
        <v>15</v>
      </c>
      <c r="G2" s="2">
        <v>16</v>
      </c>
      <c r="H2" s="2">
        <v>17</v>
      </c>
      <c r="I2" s="2">
        <v>18</v>
      </c>
      <c r="J2" s="75"/>
      <c r="K2" s="76"/>
      <c r="L2" s="70"/>
    </row>
    <row r="3" spans="1:12">
      <c r="A3" s="64"/>
      <c r="B3" s="64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77"/>
      <c r="K3" s="69"/>
      <c r="L3" s="70"/>
    </row>
    <row r="4" spans="1:12">
      <c r="A4" s="46" t="s">
        <v>31</v>
      </c>
      <c r="B4" s="47"/>
      <c r="C4" s="48"/>
      <c r="D4" s="48"/>
      <c r="E4" s="48"/>
      <c r="F4" s="59"/>
      <c r="G4" s="65"/>
      <c r="H4" s="65"/>
      <c r="I4" s="66"/>
      <c r="J4" s="49"/>
      <c r="K4" s="50"/>
      <c r="L4" s="51"/>
    </row>
    <row r="5" spans="1:12">
      <c r="A5" s="18" t="s">
        <v>30</v>
      </c>
      <c r="B5" s="12" t="s">
        <v>16</v>
      </c>
      <c r="C5" s="13"/>
      <c r="D5" s="13"/>
      <c r="E5" s="13"/>
      <c r="F5" s="13"/>
      <c r="G5" s="13"/>
      <c r="H5" s="13"/>
      <c r="I5" s="13"/>
      <c r="J5" s="29">
        <f t="shared" ref="J5:J6" si="0">SUM(F5:I5)</f>
        <v>0</v>
      </c>
      <c r="K5" s="29" t="s">
        <v>17</v>
      </c>
      <c r="L5" s="30"/>
    </row>
    <row r="6" spans="1:12">
      <c r="A6" s="52" t="s">
        <v>123</v>
      </c>
      <c r="B6" s="13" t="s">
        <v>33</v>
      </c>
      <c r="C6" s="53"/>
      <c r="D6" s="53"/>
      <c r="E6" s="53"/>
      <c r="F6" s="53"/>
      <c r="G6" s="53"/>
      <c r="H6" s="53"/>
      <c r="I6" s="53"/>
      <c r="J6" s="29">
        <f t="shared" si="0"/>
        <v>0</v>
      </c>
      <c r="K6" s="29" t="s">
        <v>17</v>
      </c>
      <c r="L6" s="30"/>
    </row>
  </sheetData>
  <mergeCells count="6">
    <mergeCell ref="F4:I4"/>
    <mergeCell ref="A1:A3"/>
    <mergeCell ref="B1:B3"/>
    <mergeCell ref="J1:J3"/>
    <mergeCell ref="K1:K3"/>
    <mergeCell ref="L1:L3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A9ECCC27-EF55-4C06-91D4-7C80BD7AC72E}"/>
</file>

<file path=customXml/itemProps2.xml><?xml version="1.0" encoding="utf-8"?>
<ds:datastoreItem xmlns:ds="http://schemas.openxmlformats.org/officeDocument/2006/customXml" ds:itemID="{607BF96D-1FB2-48EC-A091-88E4820078ED}"/>
</file>

<file path=customXml/itemProps3.xml><?xml version="1.0" encoding="utf-8"?>
<ds:datastoreItem xmlns:ds="http://schemas.openxmlformats.org/officeDocument/2006/customXml" ds:itemID="{405A8DE6-5E72-4313-B548-6CB0650F2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Keller, Nick (STL-MOM)</cp:lastModifiedBy>
  <cp:revision/>
  <dcterms:created xsi:type="dcterms:W3CDTF">2024-03-15T14:14:42Z</dcterms:created>
  <dcterms:modified xsi:type="dcterms:W3CDTF">2024-03-15T14:14:42Z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