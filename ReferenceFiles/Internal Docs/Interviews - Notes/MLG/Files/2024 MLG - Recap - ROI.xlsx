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XP/Internal Docs/Interviews - Notes/MLG/Files/"/>
    </mc:Choice>
  </mc:AlternateContent>
  <xr:revisionPtr revIDLastSave="0" documentId="8_{FA40BBFE-2E20-464D-B96A-A03A63D5039B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Market Breakouts" sheetId="4" r:id="rId1"/>
    <sheet name="Consolidated Report" sheetId="5" r:id="rId2"/>
  </sheets>
  <definedNames>
    <definedName name="_xlnm._FilterDatabase" localSheetId="0" hidden="1">'Market Breakouts'!$B$61:$P$109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4" l="1"/>
  <c r="E56" i="4"/>
  <c r="K46" i="4"/>
  <c r="J56" i="4"/>
  <c r="K56" i="4"/>
  <c r="K55" i="4"/>
  <c r="K54" i="4"/>
  <c r="I108" i="4"/>
  <c r="K108" i="4"/>
  <c r="U64" i="4"/>
  <c r="U65" i="4"/>
  <c r="K85" i="4"/>
  <c r="L85" i="4" s="1"/>
  <c r="P85" i="4" s="1"/>
  <c r="H5" i="5"/>
  <c r="U63" i="4"/>
  <c r="J108" i="4"/>
  <c r="M108" i="4"/>
  <c r="V67" i="4"/>
  <c r="V66" i="4"/>
  <c r="J5" i="5"/>
  <c r="N108" i="4"/>
  <c r="M56" i="4"/>
  <c r="O56" i="4"/>
  <c r="O108" i="4"/>
  <c r="K79" i="4"/>
  <c r="L79" i="4" s="1"/>
  <c r="K80" i="4"/>
  <c r="L80" i="4" s="1"/>
  <c r="P80" i="4" s="1"/>
  <c r="L81" i="4"/>
  <c r="K82" i="4"/>
  <c r="L82" i="4" s="1"/>
  <c r="P82" i="4" s="1"/>
  <c r="L83" i="4"/>
  <c r="P83" i="4" s="1"/>
  <c r="L84" i="4"/>
  <c r="P84" i="4" s="1"/>
  <c r="L86" i="4"/>
  <c r="P86" i="4" s="1"/>
  <c r="K87" i="4"/>
  <c r="L87" i="4" s="1"/>
  <c r="P87" i="4" s="1"/>
  <c r="L88" i="4"/>
  <c r="P88" i="4" s="1"/>
  <c r="L89" i="4"/>
  <c r="P89" i="4" s="1"/>
  <c r="K90" i="4"/>
  <c r="L90" i="4" s="1"/>
  <c r="P90" i="4" s="1"/>
  <c r="L91" i="4"/>
  <c r="P91" i="4" s="1"/>
  <c r="K92" i="4"/>
  <c r="L92" i="4" s="1"/>
  <c r="P92" i="4" s="1"/>
  <c r="L93" i="4"/>
  <c r="P93" i="4" s="1"/>
  <c r="K94" i="4"/>
  <c r="L94" i="4" s="1"/>
  <c r="P94" i="4" s="1"/>
  <c r="K95" i="4"/>
  <c r="L95" i="4" s="1"/>
  <c r="P95" i="4" s="1"/>
  <c r="K96" i="4"/>
  <c r="L96" i="4" s="1"/>
  <c r="P96" i="4" s="1"/>
  <c r="K97" i="4"/>
  <c r="L97" i="4" s="1"/>
  <c r="P97" i="4" s="1"/>
  <c r="K98" i="4"/>
  <c r="L98" i="4" s="1"/>
  <c r="P98" i="4" s="1"/>
  <c r="L99" i="4"/>
  <c r="P99" i="4" s="1"/>
  <c r="K100" i="4"/>
  <c r="L100" i="4" s="1"/>
  <c r="P100" i="4" s="1"/>
  <c r="L101" i="4"/>
  <c r="P101" i="4" s="1"/>
  <c r="K102" i="4"/>
  <c r="L102" i="4" s="1"/>
  <c r="P102" i="4" s="1"/>
  <c r="L103" i="4"/>
  <c r="P103" i="4" s="1"/>
  <c r="K104" i="4"/>
  <c r="L104" i="4" s="1"/>
  <c r="P104" i="4" s="1"/>
  <c r="K105" i="4"/>
  <c r="L105" i="4" s="1"/>
  <c r="P105" i="4" s="1"/>
  <c r="K106" i="4"/>
  <c r="L106" i="4" s="1"/>
  <c r="P106" i="4" s="1"/>
  <c r="K107" i="4"/>
  <c r="L107" i="4" s="1"/>
  <c r="P107" i="4" s="1"/>
  <c r="V38" i="4"/>
  <c r="N56" i="4"/>
  <c r="I56" i="4"/>
  <c r="L56" i="4" s="1"/>
  <c r="P56" i="4" s="1"/>
  <c r="L108" i="4" l="1"/>
  <c r="P108" i="4" s="1"/>
  <c r="P81" i="4"/>
  <c r="I30" i="4"/>
  <c r="J30" i="4"/>
  <c r="M30" i="4"/>
  <c r="O30" i="4"/>
  <c r="L30" i="4" l="1"/>
  <c r="P30" i="4" s="1"/>
  <c r="K75" i="4"/>
  <c r="L75" i="4" s="1"/>
  <c r="P75" i="4" s="1"/>
  <c r="K76" i="4"/>
  <c r="L76" i="4" s="1"/>
  <c r="P76" i="4" s="1"/>
  <c r="K77" i="4"/>
  <c r="L77" i="4" s="1"/>
  <c r="P77" i="4" s="1"/>
  <c r="L4" i="4"/>
  <c r="E108" i="4" l="1"/>
  <c r="V5" i="4"/>
  <c r="K64" i="4"/>
  <c r="L64" i="4" s="1"/>
  <c r="K65" i="4"/>
  <c r="L65" i="4" s="1"/>
  <c r="P65" i="4" s="1"/>
  <c r="K66" i="4"/>
  <c r="L66" i="4" s="1"/>
  <c r="P66" i="4" s="1"/>
  <c r="K67" i="4"/>
  <c r="K68" i="4"/>
  <c r="K69" i="4"/>
  <c r="K71" i="4"/>
  <c r="K72" i="4"/>
  <c r="K73" i="4"/>
  <c r="K74" i="4"/>
  <c r="L74" i="4" s="1"/>
  <c r="L14" i="4"/>
  <c r="P14" i="4" s="1"/>
  <c r="L73" i="4" l="1"/>
  <c r="P73" i="4" s="1"/>
  <c r="L71" i="4"/>
  <c r="P71" i="4" s="1"/>
  <c r="L72" i="4"/>
  <c r="P72" i="4" s="1"/>
  <c r="L69" i="4"/>
  <c r="L68" i="4"/>
  <c r="P68" i="4" s="1"/>
  <c r="L70" i="4"/>
  <c r="P70" i="4" s="1"/>
  <c r="L67" i="4"/>
  <c r="P67" i="4" s="1"/>
  <c r="P64" i="4"/>
  <c r="P74" i="4"/>
  <c r="L9" i="4"/>
  <c r="P9" i="4" s="1"/>
  <c r="L29" i="4"/>
  <c r="P29" i="4" s="1"/>
  <c r="K49" i="4"/>
  <c r="L49" i="4" s="1"/>
  <c r="P49" i="4" s="1"/>
  <c r="L7" i="4"/>
  <c r="L46" i="4"/>
  <c r="L20" i="4"/>
  <c r="P20" i="4" s="1"/>
  <c r="K51" i="4"/>
  <c r="L51" i="4" s="1"/>
  <c r="P51" i="4" s="1"/>
  <c r="K41" i="4"/>
  <c r="L41" i="4" s="1"/>
  <c r="P41" i="4" s="1"/>
  <c r="K45" i="4"/>
  <c r="L45" i="4" s="1"/>
  <c r="P45" i="4" s="1"/>
  <c r="K52" i="4"/>
  <c r="L52" i="4" s="1"/>
  <c r="P52" i="4" s="1"/>
  <c r="K43" i="4"/>
  <c r="L43" i="4" s="1"/>
  <c r="P43" i="4" s="1"/>
  <c r="L26" i="4"/>
  <c r="P26" i="4" s="1"/>
  <c r="L18" i="4"/>
  <c r="P18" i="4" s="1"/>
  <c r="L19" i="4"/>
  <c r="P19" i="4" s="1"/>
  <c r="L5" i="4"/>
  <c r="L11" i="4"/>
  <c r="P11" i="4" s="1"/>
  <c r="L28" i="4"/>
  <c r="K37" i="4"/>
  <c r="L37" i="4" s="1"/>
  <c r="P37" i="4" s="1"/>
  <c r="K35" i="4"/>
  <c r="L12" i="4"/>
  <c r="P12" i="4" s="1"/>
  <c r="L24" i="4"/>
  <c r="P24" i="4" s="1"/>
  <c r="K48" i="4"/>
  <c r="L48" i="4" s="1"/>
  <c r="P48" i="4" s="1"/>
  <c r="L16" i="4"/>
  <c r="P16" i="4" s="1"/>
  <c r="L23" i="4"/>
  <c r="P23" i="4" s="1"/>
  <c r="L13" i="4"/>
  <c r="P13" i="4" s="1"/>
  <c r="K63" i="4"/>
  <c r="K62" i="4"/>
  <c r="K78" i="4"/>
  <c r="K53" i="4"/>
  <c r="L53" i="4" s="1"/>
  <c r="P53" i="4" s="1"/>
  <c r="L6" i="4"/>
  <c r="P6" i="4" s="1"/>
  <c r="K39" i="4"/>
  <c r="L39" i="4" s="1"/>
  <c r="P39" i="4" s="1"/>
  <c r="K44" i="4"/>
  <c r="L44" i="4" s="1"/>
  <c r="P44" i="4" s="1"/>
  <c r="L10" i="4"/>
  <c r="P10" i="4" s="1"/>
  <c r="L36" i="4"/>
  <c r="P36" i="4" s="1"/>
  <c r="L22" i="4"/>
  <c r="P22" i="4" s="1"/>
  <c r="K40" i="4"/>
  <c r="L40" i="4" s="1"/>
  <c r="P40" i="4" s="1"/>
  <c r="L25" i="4"/>
  <c r="P25" i="4" s="1"/>
  <c r="L8" i="4"/>
  <c r="P8" i="4" s="1"/>
  <c r="L15" i="4"/>
  <c r="P15" i="4" s="1"/>
  <c r="L38" i="4"/>
  <c r="P38" i="4" s="1"/>
  <c r="K47" i="4"/>
  <c r="L47" i="4" s="1"/>
  <c r="P47" i="4" s="1"/>
  <c r="L17" i="4"/>
  <c r="P17" i="4" s="1"/>
  <c r="K50" i="4"/>
  <c r="L50" i="4" s="1"/>
  <c r="P50" i="4" s="1"/>
  <c r="K42" i="4"/>
  <c r="L42" i="4" s="1"/>
  <c r="P42" i="4" s="1"/>
  <c r="L21" i="4"/>
  <c r="P21" i="4" s="1"/>
  <c r="P46" i="4" l="1"/>
  <c r="T64" i="4"/>
  <c r="V64" i="4" s="1"/>
  <c r="L63" i="4"/>
  <c r="P69" i="4"/>
  <c r="L78" i="4"/>
  <c r="L35" i="4"/>
  <c r="V6" i="4"/>
  <c r="P28" i="4"/>
  <c r="L27" i="4"/>
  <c r="P27" i="4" s="1"/>
  <c r="L54" i="4"/>
  <c r="L55" i="4"/>
  <c r="P7" i="4"/>
  <c r="L62" i="4"/>
  <c r="P5" i="4"/>
  <c r="P4" i="4"/>
  <c r="T63" i="4" l="1"/>
  <c r="V36" i="4"/>
  <c r="V37" i="4"/>
  <c r="T65" i="4"/>
  <c r="V65" i="4" s="1"/>
  <c r="V63" i="4"/>
  <c r="P63" i="4"/>
  <c r="P78" i="4"/>
  <c r="P79" i="4"/>
  <c r="V7" i="4"/>
  <c r="P54" i="4"/>
  <c r="P55" i="4"/>
  <c r="P62" i="4"/>
  <c r="P35" i="4"/>
</calcChain>
</file>

<file path=xl/sharedStrings.xml><?xml version="1.0" encoding="utf-8"?>
<sst xmlns="http://schemas.openxmlformats.org/spreadsheetml/2006/main" count="90" uniqueCount="39">
  <si>
    <t>FLORIDA</t>
  </si>
  <si>
    <t>START DATE</t>
  </si>
  <si>
    <t>END DATE</t>
  </si>
  <si>
    <t># OF DAYS</t>
  </si>
  <si>
    <t>CITY</t>
  </si>
  <si>
    <t>STATE</t>
  </si>
  <si>
    <t xml:space="preserve">Event Type </t>
  </si>
  <si>
    <t>SPONSORSHIP</t>
  </si>
  <si>
    <t>ON PREMISE ACTIVATION SUPPORT FEE</t>
  </si>
  <si>
    <t xml:space="preserve">TOUR MANAGEMENT  </t>
  </si>
  <si>
    <t>TOTAL COST</t>
  </si>
  <si>
    <t>CONSUMERS SAMPLED</t>
  </si>
  <si>
    <t>OFF PREMISE BOTTLES SOLD</t>
  </si>
  <si>
    <t>CONSUMERS INFLUENCED</t>
  </si>
  <si>
    <t>COST PER CONSUMER SAMPLED</t>
  </si>
  <si>
    <t xml:space="preserve">Breakout </t>
  </si>
  <si>
    <t># of events</t>
  </si>
  <si>
    <t>Total Cost</t>
  </si>
  <si>
    <t>Number Sampled</t>
  </si>
  <si>
    <t>Cost Per Sample</t>
  </si>
  <si>
    <t>LSS</t>
  </si>
  <si>
    <t>Off Premise</t>
  </si>
  <si>
    <t>On Premise</t>
  </si>
  <si>
    <t xml:space="preserve">Days spent activating </t>
  </si>
  <si>
    <t xml:space="preserve">Days in market </t>
  </si>
  <si>
    <t>CALIFORNIA</t>
  </si>
  <si>
    <t xml:space="preserve">LA Food and Wine </t>
  </si>
  <si>
    <t>Santa Monica</t>
  </si>
  <si>
    <t xml:space="preserve">Calfonia </t>
  </si>
  <si>
    <t>TEXAS</t>
  </si>
  <si>
    <t>Moody Centre</t>
  </si>
  <si>
    <t>Ranger Centre</t>
  </si>
  <si>
    <t>Total Tour Days</t>
  </si>
  <si>
    <t xml:space="preserve">Days Spent Activating </t>
  </si>
  <si>
    <t>Tour Management Cost</t>
  </si>
  <si>
    <t>Sponsorship Cost</t>
  </si>
  <si>
    <t>Local Support Fees</t>
  </si>
  <si>
    <t>Total Sampled</t>
  </si>
  <si>
    <t>Estimated Media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</si>
</sst>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&quot;$&quot;#,##0.00"/>
    <numFmt numFmtId="167" formatCode="_(* #,##0_);_(* \(#,##0\);_(* &quot;-&quot;??_);_(@_)"/>
    <numFmt numFmtId="168" formatCode="_(&quot;$&quot;* #,##0_);_(&quot;$&quot;* \(#,##0\);_(&quot;$&quot;* &quot;-&quot;??_);_(@_)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Calibri"/>
      <family val="2"/>
    </font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rial"/>
      <family val="2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0"/>
      <name val="Arial"/>
      <family val="2"/>
      <scheme val="minor"/>
    </font>
    <font>
      <sz val="11"/>
      <name val="Calibri"/>
      <family val="2"/>
    </font>
    <font>
      <sz val="12"/>
      <name val="Calibri"/>
      <family val="2"/>
    </font>
    <font>
      <sz val="10"/>
      <color rgb="FF000000"/>
      <name val="Arial"/>
      <family val="2"/>
      <scheme val="minor"/>
    </font>
    <font>
      <b/>
      <sz val="9"/>
      <color rgb="FFFFFFFF"/>
      <name val="Calibri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37562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4">
    <xf numFmtId="0" fontId="0" fillId="0" borderId="0" xfId="0"/>
    <xf numFmtId="0" fontId="0" fillId="0" borderId="0" xfId="0" applyAlignment="1">
      <alignment horizontal="left" wrapText="1"/>
    </xf>
    <xf numFmtId="0" fontId="1" fillId="0" borderId="0" xfId="0" applyFont="1"/>
    <xf numFmtId="14" fontId="0" fillId="0" borderId="0" xfId="0" applyNumberFormat="1"/>
    <xf numFmtId="164" fontId="0" fillId="0" borderId="0" xfId="1" applyFont="1"/>
    <xf numFmtId="166" fontId="0" fillId="0" borderId="2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5" fillId="4" borderId="2" xfId="0" applyFont="1" applyFill="1" applyBorder="1"/>
    <xf numFmtId="0" fontId="6" fillId="0" borderId="1" xfId="0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164" fontId="2" fillId="0" borderId="1" xfId="1" applyFont="1" applyFill="1" applyBorder="1" applyAlignment="1">
      <alignment horizontal="center" vertical="top"/>
    </xf>
    <xf numFmtId="164" fontId="2" fillId="0" borderId="3" xfId="1" applyFont="1" applyFill="1" applyBorder="1" applyAlignment="1">
      <alignment horizontal="center" vertical="top"/>
    </xf>
    <xf numFmtId="164" fontId="2" fillId="0" borderId="2" xfId="1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top"/>
    </xf>
    <xf numFmtId="14" fontId="6" fillId="0" borderId="2" xfId="0" applyNumberFormat="1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14" fontId="6" fillId="0" borderId="4" xfId="0" applyNumberFormat="1" applyFont="1" applyBorder="1" applyAlignment="1">
      <alignment horizontal="center" vertical="top"/>
    </xf>
    <xf numFmtId="164" fontId="2" fillId="0" borderId="4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14" fontId="6" fillId="0" borderId="3" xfId="0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164" fontId="2" fillId="0" borderId="0" xfId="1" applyFont="1" applyFill="1" applyBorder="1" applyAlignment="1">
      <alignment horizontal="center" vertical="top"/>
    </xf>
    <xf numFmtId="0" fontId="6" fillId="0" borderId="0" xfId="0" applyFont="1" applyAlignment="1">
      <alignment horizontal="left"/>
    </xf>
    <xf numFmtId="167" fontId="0" fillId="0" borderId="0" xfId="2" applyNumberFormat="1" applyFont="1"/>
    <xf numFmtId="167" fontId="6" fillId="0" borderId="1" xfId="2" applyNumberFormat="1" applyFont="1" applyBorder="1" applyAlignment="1">
      <alignment horizontal="center" vertical="top"/>
    </xf>
    <xf numFmtId="167" fontId="6" fillId="0" borderId="3" xfId="2" applyNumberFormat="1" applyFont="1" applyBorder="1" applyAlignment="1">
      <alignment horizontal="center" vertical="top"/>
    </xf>
    <xf numFmtId="167" fontId="6" fillId="0" borderId="2" xfId="2" applyNumberFormat="1" applyFont="1" applyBorder="1" applyAlignment="1">
      <alignment horizontal="center" vertical="top"/>
    </xf>
    <xf numFmtId="167" fontId="6" fillId="0" borderId="4" xfId="2" applyNumberFormat="1" applyFont="1" applyBorder="1" applyAlignment="1">
      <alignment horizontal="center" vertical="top"/>
    </xf>
    <xf numFmtId="167" fontId="6" fillId="0" borderId="0" xfId="2" applyNumberFormat="1" applyFont="1" applyFill="1" applyBorder="1" applyAlignment="1">
      <alignment horizontal="center" vertical="top"/>
    </xf>
    <xf numFmtId="164" fontId="6" fillId="0" borderId="1" xfId="1" applyFont="1" applyBorder="1" applyAlignment="1">
      <alignment horizontal="center" vertical="top"/>
    </xf>
    <xf numFmtId="164" fontId="6" fillId="0" borderId="3" xfId="1" applyFont="1" applyBorder="1" applyAlignment="1">
      <alignment horizontal="center" vertical="top"/>
    </xf>
    <xf numFmtId="164" fontId="6" fillId="0" borderId="2" xfId="1" applyFont="1" applyBorder="1" applyAlignment="1">
      <alignment horizontal="center" vertical="top"/>
    </xf>
    <xf numFmtId="164" fontId="6" fillId="0" borderId="4" xfId="1" applyFont="1" applyBorder="1" applyAlignment="1">
      <alignment horizontal="center" vertical="top"/>
    </xf>
    <xf numFmtId="164" fontId="6" fillId="0" borderId="0" xfId="1" applyFont="1" applyFill="1" applyBorder="1" applyAlignment="1">
      <alignment horizontal="center" vertical="top"/>
    </xf>
    <xf numFmtId="168" fontId="0" fillId="0" borderId="0" xfId="1" applyNumberFormat="1" applyFont="1"/>
    <xf numFmtId="168" fontId="2" fillId="0" borderId="1" xfId="1" applyNumberFormat="1" applyFont="1" applyBorder="1" applyAlignment="1">
      <alignment horizontal="center" vertical="top"/>
    </xf>
    <xf numFmtId="168" fontId="2" fillId="0" borderId="2" xfId="1" applyNumberFormat="1" applyFont="1" applyBorder="1" applyAlignment="1">
      <alignment horizontal="center" vertical="top"/>
    </xf>
    <xf numFmtId="168" fontId="2" fillId="0" borderId="4" xfId="1" applyNumberFormat="1" applyFont="1" applyBorder="1" applyAlignment="1">
      <alignment horizontal="center" vertical="top"/>
    </xf>
    <xf numFmtId="168" fontId="2" fillId="0" borderId="3" xfId="1" applyNumberFormat="1" applyFont="1" applyBorder="1" applyAlignment="1">
      <alignment horizontal="center" vertical="top"/>
    </xf>
    <xf numFmtId="168" fontId="2" fillId="0" borderId="0" xfId="1" applyNumberFormat="1" applyFont="1" applyFill="1" applyBorder="1" applyAlignment="1">
      <alignment horizontal="center" vertical="top"/>
    </xf>
    <xf numFmtId="164" fontId="7" fillId="0" borderId="0" xfId="1" applyFont="1" applyBorder="1"/>
    <xf numFmtId="164" fontId="4" fillId="0" borderId="0" xfId="1" applyFont="1" applyFill="1" applyBorder="1" applyAlignment="1">
      <alignment horizontal="center" vertical="top"/>
    </xf>
    <xf numFmtId="168" fontId="4" fillId="0" borderId="0" xfId="1" applyNumberFormat="1" applyFont="1" applyBorder="1" applyAlignment="1">
      <alignment horizontal="center" vertical="top"/>
    </xf>
    <xf numFmtId="167" fontId="4" fillId="0" borderId="0" xfId="2" applyNumberFormat="1" applyFont="1" applyBorder="1" applyAlignment="1">
      <alignment horizontal="center" vertical="top"/>
    </xf>
    <xf numFmtId="164" fontId="2" fillId="0" borderId="0" xfId="1" applyFont="1" applyFill="1" applyBorder="1" applyAlignment="1">
      <alignment vertical="top"/>
    </xf>
    <xf numFmtId="0" fontId="8" fillId="6" borderId="1" xfId="0" applyFont="1" applyFill="1" applyBorder="1" applyAlignment="1">
      <alignment horizontal="center" vertical="center" wrapText="1"/>
    </xf>
    <xf numFmtId="14" fontId="8" fillId="6" borderId="1" xfId="0" applyNumberFormat="1" applyFont="1" applyFill="1" applyBorder="1" applyAlignment="1">
      <alignment horizontal="center" vertical="center" wrapText="1"/>
    </xf>
    <xf numFmtId="164" fontId="8" fillId="6" borderId="1" xfId="1" applyFont="1" applyFill="1" applyBorder="1" applyAlignment="1">
      <alignment horizontal="center" vertical="center" wrapText="1"/>
    </xf>
    <xf numFmtId="168" fontId="8" fillId="6" borderId="1" xfId="1" applyNumberFormat="1" applyFont="1" applyFill="1" applyBorder="1" applyAlignment="1">
      <alignment horizontal="center" vertical="center" wrapText="1"/>
    </xf>
    <xf numFmtId="167" fontId="8" fillId="6" borderId="1" xfId="2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 vertical="top"/>
    </xf>
    <xf numFmtId="164" fontId="10" fillId="0" borderId="1" xfId="1" applyFont="1" applyFill="1" applyBorder="1" applyAlignment="1">
      <alignment horizontal="center" vertical="top"/>
    </xf>
    <xf numFmtId="168" fontId="10" fillId="0" borderId="1" xfId="1" applyNumberFormat="1" applyFont="1" applyBorder="1" applyAlignment="1">
      <alignment horizontal="center" vertical="top"/>
    </xf>
    <xf numFmtId="167" fontId="9" fillId="0" borderId="1" xfId="2" applyNumberFormat="1" applyFont="1" applyBorder="1" applyAlignment="1">
      <alignment horizontal="center" vertical="top"/>
    </xf>
    <xf numFmtId="164" fontId="9" fillId="0" borderId="1" xfId="1" applyFont="1" applyBorder="1" applyAlignment="1">
      <alignment horizontal="center" vertical="top"/>
    </xf>
    <xf numFmtId="168" fontId="10" fillId="0" borderId="1" xfId="1" applyNumberFormat="1" applyFont="1" applyFill="1" applyBorder="1" applyAlignment="1">
      <alignment horizontal="center" vertical="top"/>
    </xf>
    <xf numFmtId="167" fontId="9" fillId="0" borderId="1" xfId="2" applyNumberFormat="1" applyFont="1" applyFill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14" fontId="9" fillId="0" borderId="3" xfId="0" applyNumberFormat="1" applyFont="1" applyBorder="1" applyAlignment="1">
      <alignment horizontal="center" vertical="top"/>
    </xf>
    <xf numFmtId="164" fontId="10" fillId="0" borderId="3" xfId="1" applyFont="1" applyFill="1" applyBorder="1" applyAlignment="1">
      <alignment horizontal="center" vertical="top"/>
    </xf>
    <xf numFmtId="168" fontId="10" fillId="0" borderId="3" xfId="1" applyNumberFormat="1" applyFont="1" applyFill="1" applyBorder="1" applyAlignment="1">
      <alignment horizontal="center" vertical="top"/>
    </xf>
    <xf numFmtId="167" fontId="9" fillId="0" borderId="3" xfId="2" applyNumberFormat="1" applyFont="1" applyFill="1" applyBorder="1" applyAlignment="1">
      <alignment horizontal="center" vertical="top"/>
    </xf>
    <xf numFmtId="167" fontId="9" fillId="0" borderId="3" xfId="2" applyNumberFormat="1" applyFont="1" applyBorder="1" applyAlignment="1">
      <alignment horizontal="center" vertical="top"/>
    </xf>
    <xf numFmtId="164" fontId="9" fillId="0" borderId="3" xfId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14" fontId="9" fillId="0" borderId="2" xfId="0" applyNumberFormat="1" applyFont="1" applyBorder="1" applyAlignment="1">
      <alignment horizontal="center" vertical="top"/>
    </xf>
    <xf numFmtId="164" fontId="10" fillId="0" borderId="2" xfId="1" applyFont="1" applyFill="1" applyBorder="1" applyAlignment="1">
      <alignment horizontal="center" vertical="top"/>
    </xf>
    <xf numFmtId="168" fontId="10" fillId="0" borderId="2" xfId="1" applyNumberFormat="1" applyFont="1" applyFill="1" applyBorder="1" applyAlignment="1">
      <alignment horizontal="center" vertical="top"/>
    </xf>
    <xf numFmtId="167" fontId="9" fillId="0" borderId="2" xfId="2" applyNumberFormat="1" applyFont="1" applyFill="1" applyBorder="1" applyAlignment="1">
      <alignment horizontal="center" vertical="top"/>
    </xf>
    <xf numFmtId="167" fontId="9" fillId="0" borderId="2" xfId="2" applyNumberFormat="1" applyFont="1" applyBorder="1" applyAlignment="1">
      <alignment horizontal="center" vertical="top"/>
    </xf>
    <xf numFmtId="164" fontId="9" fillId="0" borderId="2" xfId="1" applyFont="1" applyBorder="1" applyAlignment="1">
      <alignment horizontal="center" vertical="top"/>
    </xf>
    <xf numFmtId="0" fontId="9" fillId="0" borderId="0" xfId="0" applyFont="1" applyAlignment="1">
      <alignment horizontal="left" vertical="top"/>
    </xf>
    <xf numFmtId="0" fontId="9" fillId="0" borderId="0" xfId="0" applyFont="1"/>
    <xf numFmtId="164" fontId="10" fillId="0" borderId="0" xfId="1" applyFont="1" applyFill="1" applyBorder="1" applyAlignment="1">
      <alignment vertical="top"/>
    </xf>
    <xf numFmtId="0" fontId="11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164" fontId="12" fillId="0" borderId="2" xfId="1" applyFont="1" applyFill="1" applyBorder="1" applyAlignment="1">
      <alignment horizontal="center" vertical="center"/>
    </xf>
    <xf numFmtId="168" fontId="12" fillId="0" borderId="2" xfId="1" applyNumberFormat="1" applyFont="1" applyFill="1" applyBorder="1" applyAlignment="1">
      <alignment horizontal="center" vertical="center"/>
    </xf>
    <xf numFmtId="167" fontId="12" fillId="0" borderId="2" xfId="2" applyNumberFormat="1" applyFont="1" applyBorder="1" applyAlignment="1">
      <alignment horizontal="center" vertical="center"/>
    </xf>
    <xf numFmtId="164" fontId="12" fillId="0" borderId="2" xfId="1" applyFont="1" applyBorder="1" applyAlignment="1">
      <alignment horizontal="center" vertical="center"/>
    </xf>
    <xf numFmtId="14" fontId="12" fillId="2" borderId="2" xfId="0" applyNumberFormat="1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 readingOrder="1"/>
    </xf>
    <xf numFmtId="14" fontId="12" fillId="0" borderId="2" xfId="0" applyNumberFormat="1" applyFont="1" applyBorder="1" applyAlignment="1">
      <alignment horizontal="center" vertical="center" readingOrder="1"/>
    </xf>
    <xf numFmtId="14" fontId="12" fillId="3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 wrapText="1" readingOrder="1"/>
    </xf>
    <xf numFmtId="0" fontId="12" fillId="0" borderId="2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164" fontId="4" fillId="0" borderId="0" xfId="1" applyFont="1" applyFill="1" applyBorder="1" applyAlignment="1"/>
    <xf numFmtId="0" fontId="9" fillId="9" borderId="0" xfId="0" applyFont="1" applyFill="1" applyAlignment="1">
      <alignment horizontal="center" vertical="top"/>
    </xf>
    <xf numFmtId="164" fontId="9" fillId="9" borderId="0" xfId="1" applyFont="1" applyFill="1" applyBorder="1"/>
    <xf numFmtId="164" fontId="10" fillId="9" borderId="0" xfId="1" applyFont="1" applyFill="1" applyBorder="1" applyAlignment="1">
      <alignment horizontal="center" vertical="top"/>
    </xf>
    <xf numFmtId="168" fontId="10" fillId="9" borderId="0" xfId="1" applyNumberFormat="1" applyFont="1" applyFill="1" applyBorder="1" applyAlignment="1">
      <alignment horizontal="center" vertical="top"/>
    </xf>
    <xf numFmtId="167" fontId="10" fillId="9" borderId="0" xfId="2" applyNumberFormat="1" applyFont="1" applyFill="1" applyBorder="1" applyAlignment="1">
      <alignment horizontal="center" vertical="top"/>
    </xf>
    <xf numFmtId="0" fontId="6" fillId="9" borderId="0" xfId="0" applyFont="1" applyFill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top"/>
    </xf>
    <xf numFmtId="164" fontId="9" fillId="0" borderId="0" xfId="1" applyFont="1" applyFill="1" applyBorder="1"/>
    <xf numFmtId="164" fontId="10" fillId="0" borderId="0" xfId="1" applyFont="1" applyFill="1" applyBorder="1" applyAlignment="1">
      <alignment horizontal="center" vertical="top"/>
    </xf>
    <xf numFmtId="168" fontId="10" fillId="0" borderId="0" xfId="1" applyNumberFormat="1" applyFont="1" applyFill="1" applyBorder="1" applyAlignment="1">
      <alignment horizontal="center" vertical="top"/>
    </xf>
    <xf numFmtId="167" fontId="10" fillId="0" borderId="0" xfId="2" applyNumberFormat="1" applyFont="1" applyFill="1" applyBorder="1" applyAlignment="1">
      <alignment horizontal="center" vertical="top"/>
    </xf>
    <xf numFmtId="0" fontId="13" fillId="9" borderId="0" xfId="0" applyFont="1" applyFill="1" applyAlignment="1">
      <alignment horizontal="center" vertical="center" wrapText="1"/>
    </xf>
    <xf numFmtId="164" fontId="2" fillId="7" borderId="0" xfId="1" applyFont="1" applyFill="1" applyBorder="1" applyAlignment="1">
      <alignment horizontal="center" vertical="center"/>
    </xf>
    <xf numFmtId="167" fontId="2" fillId="7" borderId="0" xfId="2" applyNumberFormat="1" applyFont="1" applyFill="1" applyBorder="1" applyAlignment="1">
      <alignment horizontal="center" vertical="center"/>
    </xf>
    <xf numFmtId="2" fontId="6" fillId="7" borderId="0" xfId="1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4" fontId="6" fillId="8" borderId="5" xfId="0" applyNumberFormat="1" applyFont="1" applyFill="1" applyBorder="1" applyAlignment="1">
      <alignment horizontal="center" wrapText="1" readingOrder="1"/>
    </xf>
    <xf numFmtId="0" fontId="6" fillId="8" borderId="5" xfId="0" applyFont="1" applyFill="1" applyBorder="1" applyAlignment="1">
      <alignment horizontal="right" wrapText="1" readingOrder="1"/>
    </xf>
    <xf numFmtId="14" fontId="6" fillId="8" borderId="6" xfId="0" applyNumberFormat="1" applyFont="1" applyFill="1" applyBorder="1" applyAlignment="1">
      <alignment horizontal="center" wrapText="1" readingOrder="1"/>
    </xf>
    <xf numFmtId="0" fontId="6" fillId="8" borderId="6" xfId="0" applyFont="1" applyFill="1" applyBorder="1" applyAlignment="1">
      <alignment horizontal="right" wrapText="1" readingOrder="1"/>
    </xf>
    <xf numFmtId="164" fontId="6" fillId="7" borderId="2" xfId="1" applyFont="1" applyFill="1" applyBorder="1"/>
    <xf numFmtId="0" fontId="6" fillId="0" borderId="0" xfId="0" applyFont="1"/>
    <xf numFmtId="164" fontId="6" fillId="0" borderId="0" xfId="1" applyFont="1"/>
    <xf numFmtId="168" fontId="6" fillId="0" borderId="0" xfId="1" applyNumberFormat="1" applyFont="1"/>
    <xf numFmtId="167" fontId="6" fillId="0" borderId="0" xfId="2" applyNumberFormat="1" applyFont="1"/>
    <xf numFmtId="0" fontId="2" fillId="9" borderId="0" xfId="1" applyNumberFormat="1" applyFont="1" applyFill="1" applyBorder="1" applyAlignment="1">
      <alignment horizontal="center" vertical="center"/>
    </xf>
    <xf numFmtId="14" fontId="6" fillId="9" borderId="0" xfId="0" applyNumberFormat="1" applyFont="1" applyFill="1" applyAlignment="1">
      <alignment horizontal="left" vertical="center"/>
    </xf>
    <xf numFmtId="0" fontId="15" fillId="6" borderId="1" xfId="0" applyFont="1" applyFill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164" fontId="15" fillId="6" borderId="1" xfId="1" applyFont="1" applyFill="1" applyBorder="1" applyAlignment="1">
      <alignment horizontal="center" vertical="center" wrapText="1"/>
    </xf>
    <xf numFmtId="0" fontId="14" fillId="0" borderId="0" xfId="0" applyFont="1"/>
    <xf numFmtId="168" fontId="15" fillId="6" borderId="7" xfId="1" applyNumberFormat="1" applyFont="1" applyFill="1" applyBorder="1" applyAlignment="1">
      <alignment horizontal="center" vertical="center" wrapText="1"/>
    </xf>
    <xf numFmtId="164" fontId="15" fillId="6" borderId="2" xfId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168" fontId="16" fillId="0" borderId="0" xfId="1" applyNumberFormat="1" applyFont="1"/>
    <xf numFmtId="168" fontId="16" fillId="0" borderId="0" xfId="0" applyNumberFormat="1" applyFont="1"/>
    <xf numFmtId="167" fontId="16" fillId="0" borderId="0" xfId="2" applyNumberFormat="1" applyFont="1"/>
    <xf numFmtId="164" fontId="16" fillId="0" borderId="0" xfId="1" applyFont="1"/>
    <xf numFmtId="0" fontId="16" fillId="0" borderId="0" xfId="0" applyFont="1"/>
    <xf numFmtId="0" fontId="5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164" fontId="0" fillId="0" borderId="2" xfId="1" applyFont="1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64" fontId="0" fillId="0" borderId="2" xfId="1" applyFont="1" applyBorder="1"/>
    <xf numFmtId="167" fontId="12" fillId="0" borderId="2" xfId="2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right" wrapText="1" readingOrder="1"/>
    </xf>
    <xf numFmtId="164" fontId="12" fillId="0" borderId="2" xfId="1" applyFont="1" applyFill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right" wrapText="1" readingOrder="1"/>
    </xf>
    <xf numFmtId="14" fontId="12" fillId="11" borderId="2" xfId="0" applyNumberFormat="1" applyFont="1" applyFill="1" applyBorder="1" applyAlignment="1">
      <alignment horizontal="center" vertical="center" readingOrder="1"/>
    </xf>
    <xf numFmtId="0" fontId="12" fillId="12" borderId="2" xfId="0" applyFont="1" applyFill="1" applyBorder="1" applyAlignment="1">
      <alignment horizontal="center" vertical="center" wrapText="1" readingOrder="1"/>
    </xf>
    <xf numFmtId="14" fontId="12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4" fontId="12" fillId="0" borderId="8" xfId="1" applyFont="1" applyFill="1" applyBorder="1" applyAlignment="1">
      <alignment horizontal="center" vertical="center"/>
    </xf>
    <xf numFmtId="168" fontId="12" fillId="0" borderId="8" xfId="1" applyNumberFormat="1" applyFont="1" applyFill="1" applyBorder="1" applyAlignment="1">
      <alignment horizontal="center" vertical="center"/>
    </xf>
    <xf numFmtId="167" fontId="12" fillId="0" borderId="8" xfId="2" applyNumberFormat="1" applyFont="1" applyFill="1" applyBorder="1" applyAlignment="1">
      <alignment horizontal="center" vertical="center"/>
    </xf>
    <xf numFmtId="167" fontId="12" fillId="0" borderId="8" xfId="2" applyNumberFormat="1" applyFont="1" applyBorder="1" applyAlignment="1">
      <alignment horizontal="center" vertical="center"/>
    </xf>
    <xf numFmtId="164" fontId="12" fillId="0" borderId="8" xfId="1" applyFont="1" applyBorder="1" applyAlignment="1">
      <alignment horizontal="center" vertical="center"/>
    </xf>
    <xf numFmtId="14" fontId="12" fillId="3" borderId="8" xfId="0" applyNumberFormat="1" applyFont="1" applyFill="1" applyBorder="1" applyAlignment="1">
      <alignment horizontal="center" vertical="center" readingOrder="1"/>
    </xf>
    <xf numFmtId="14" fontId="12" fillId="11" borderId="8" xfId="0" applyNumberFormat="1" applyFont="1" applyFill="1" applyBorder="1" applyAlignment="1">
      <alignment horizontal="center" vertical="center" readingOrder="1"/>
    </xf>
    <xf numFmtId="0" fontId="12" fillId="8" borderId="8" xfId="0" applyFont="1" applyFill="1" applyBorder="1" applyAlignment="1">
      <alignment horizontal="center" vertical="center" wrapText="1" readingOrder="1"/>
    </xf>
    <xf numFmtId="14" fontId="6" fillId="8" borderId="9" xfId="0" applyNumberFormat="1" applyFont="1" applyFill="1" applyBorder="1" applyAlignment="1">
      <alignment horizontal="center" wrapText="1" readingOrder="1"/>
    </xf>
    <xf numFmtId="0" fontId="1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right" wrapText="1" readingOrder="1"/>
    </xf>
    <xf numFmtId="0" fontId="6" fillId="8" borderId="9" xfId="0" applyFont="1" applyFill="1" applyBorder="1" applyAlignment="1">
      <alignment horizontal="right" wrapText="1" readingOrder="1"/>
    </xf>
    <xf numFmtId="14" fontId="6" fillId="8" borderId="10" xfId="0" applyNumberFormat="1" applyFont="1" applyFill="1" applyBorder="1" applyAlignment="1">
      <alignment horizontal="center" wrapText="1" readingOrder="1"/>
    </xf>
    <xf numFmtId="0" fontId="6" fillId="0" borderId="10" xfId="0" applyFont="1" applyBorder="1" applyAlignment="1">
      <alignment horizontal="right" wrapText="1" readingOrder="1"/>
    </xf>
    <xf numFmtId="0" fontId="6" fillId="8" borderId="10" xfId="0" applyFont="1" applyFill="1" applyBorder="1" applyAlignment="1">
      <alignment horizontal="right" wrapText="1" readingOrder="1"/>
    </xf>
    <xf numFmtId="14" fontId="6" fillId="0" borderId="3" xfId="0" applyNumberFormat="1" applyFont="1" applyBorder="1" applyAlignment="1">
      <alignment horizontal="center" wrapText="1"/>
    </xf>
    <xf numFmtId="0" fontId="6" fillId="0" borderId="3" xfId="0" applyFont="1" applyBorder="1" applyAlignment="1">
      <alignment horizontal="right" wrapText="1"/>
    </xf>
    <xf numFmtId="14" fontId="12" fillId="3" borderId="11" xfId="0" applyNumberFormat="1" applyFont="1" applyFill="1" applyBorder="1" applyAlignment="1">
      <alignment horizontal="center" vertical="center" readingOrder="1"/>
    </xf>
    <xf numFmtId="0" fontId="12" fillId="0" borderId="11" xfId="0" applyFont="1" applyBorder="1" applyAlignment="1">
      <alignment horizontal="center" vertical="center"/>
    </xf>
    <xf numFmtId="164" fontId="2" fillId="0" borderId="12" xfId="1" applyFont="1" applyFill="1" applyBorder="1" applyAlignment="1">
      <alignment horizontal="center" vertical="top"/>
    </xf>
    <xf numFmtId="164" fontId="12" fillId="0" borderId="11" xfId="1" applyFont="1" applyFill="1" applyBorder="1" applyAlignment="1">
      <alignment horizontal="center" vertical="center"/>
    </xf>
    <xf numFmtId="168" fontId="12" fillId="0" borderId="11" xfId="1" applyNumberFormat="1" applyFont="1" applyFill="1" applyBorder="1" applyAlignment="1">
      <alignment horizontal="center" vertical="center"/>
    </xf>
    <xf numFmtId="167" fontId="12" fillId="0" borderId="11" xfId="2" applyNumberFormat="1" applyFont="1" applyFill="1" applyBorder="1" applyAlignment="1">
      <alignment horizontal="center" vertical="center"/>
    </xf>
    <xf numFmtId="167" fontId="12" fillId="0" borderId="11" xfId="2" applyNumberFormat="1" applyFont="1" applyBorder="1" applyAlignment="1">
      <alignment horizontal="center" vertical="center"/>
    </xf>
    <xf numFmtId="164" fontId="12" fillId="0" borderId="11" xfId="1" applyFont="1" applyBorder="1" applyAlignment="1">
      <alignment horizontal="center" vertical="center"/>
    </xf>
    <xf numFmtId="14" fontId="12" fillId="0" borderId="13" xfId="0" applyNumberFormat="1" applyFont="1" applyBorder="1" applyAlignment="1">
      <alignment horizontal="center" vertical="center" readingOrder="1"/>
    </xf>
    <xf numFmtId="0" fontId="12" fillId="0" borderId="13" xfId="0" applyFont="1" applyBorder="1" applyAlignment="1">
      <alignment horizontal="center" vertical="center"/>
    </xf>
    <xf numFmtId="164" fontId="12" fillId="0" borderId="13" xfId="1" applyFont="1" applyFill="1" applyBorder="1" applyAlignment="1">
      <alignment horizontal="center" vertical="center"/>
    </xf>
    <xf numFmtId="168" fontId="12" fillId="0" borderId="13" xfId="1" applyNumberFormat="1" applyFont="1" applyFill="1" applyBorder="1" applyAlignment="1">
      <alignment horizontal="center" vertical="center"/>
    </xf>
    <xf numFmtId="167" fontId="12" fillId="0" borderId="13" xfId="2" applyNumberFormat="1" applyFont="1" applyFill="1" applyBorder="1" applyAlignment="1">
      <alignment horizontal="center" vertical="center"/>
    </xf>
    <xf numFmtId="167" fontId="12" fillId="0" borderId="13" xfId="2" applyNumberFormat="1" applyFont="1" applyBorder="1" applyAlignment="1">
      <alignment horizontal="center" vertical="center"/>
    </xf>
    <xf numFmtId="164" fontId="12" fillId="0" borderId="13" xfId="1" applyFont="1" applyBorder="1" applyAlignment="1">
      <alignment horizontal="center" vertical="center"/>
    </xf>
    <xf numFmtId="0" fontId="12" fillId="8" borderId="13" xfId="0" applyFont="1" applyFill="1" applyBorder="1" applyAlignment="1">
      <alignment horizontal="center" vertical="center" wrapText="1" readingOrder="1"/>
    </xf>
    <xf numFmtId="14" fontId="6" fillId="8" borderId="14" xfId="0" applyNumberFormat="1" applyFont="1" applyFill="1" applyBorder="1" applyAlignment="1">
      <alignment horizontal="center" wrapText="1" readingOrder="1"/>
    </xf>
    <xf numFmtId="0" fontId="12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right" wrapText="1" readingOrder="1"/>
    </xf>
    <xf numFmtId="0" fontId="6" fillId="8" borderId="14" xfId="0" applyFont="1" applyFill="1" applyBorder="1" applyAlignment="1">
      <alignment horizontal="right" wrapText="1" readingOrder="1"/>
    </xf>
    <xf numFmtId="0" fontId="12" fillId="8" borderId="11" xfId="0" applyFont="1" applyFill="1" applyBorder="1" applyAlignment="1">
      <alignment horizontal="center" vertical="center" wrapText="1" readingOrder="1"/>
    </xf>
    <xf numFmtId="0" fontId="12" fillId="0" borderId="11" xfId="0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right" wrapText="1"/>
    </xf>
    <xf numFmtId="164" fontId="6" fillId="7" borderId="13" xfId="1" applyFont="1" applyFill="1" applyBorder="1"/>
    <xf numFmtId="2" fontId="6" fillId="7" borderId="13" xfId="1" applyNumberFormat="1" applyFont="1" applyFill="1" applyBorder="1"/>
    <xf numFmtId="0" fontId="6" fillId="7" borderId="13" xfId="1" applyNumberFormat="1" applyFont="1" applyFill="1" applyBorder="1"/>
    <xf numFmtId="164" fontId="12" fillId="7" borderId="13" xfId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wrapText="1" readingOrder="1"/>
    </xf>
    <xf numFmtId="3" fontId="6" fillId="0" borderId="2" xfId="0" applyNumberFormat="1" applyFont="1" applyBorder="1" applyAlignment="1">
      <alignment horizontal="right" wrapText="1" readingOrder="1"/>
    </xf>
    <xf numFmtId="3" fontId="6" fillId="8" borderId="2" xfId="0" applyNumberFormat="1" applyFont="1" applyFill="1" applyBorder="1" applyAlignment="1">
      <alignment horizontal="right" wrapText="1" readingOrder="1"/>
    </xf>
    <xf numFmtId="0" fontId="6" fillId="0" borderId="2" xfId="0" applyFont="1" applyBorder="1" applyAlignment="1">
      <alignment horizontal="right" wrapText="1" readingOrder="1"/>
    </xf>
    <xf numFmtId="14" fontId="6" fillId="0" borderId="2" xfId="0" applyNumberFormat="1" applyFont="1" applyBorder="1" applyAlignment="1">
      <alignment horizontal="center" wrapText="1"/>
    </xf>
    <xf numFmtId="3" fontId="6" fillId="0" borderId="2" xfId="0" applyNumberFormat="1" applyFont="1" applyBorder="1" applyAlignment="1">
      <alignment horizontal="right" wrapText="1"/>
    </xf>
    <xf numFmtId="167" fontId="0" fillId="0" borderId="2" xfId="0" applyNumberFormat="1" applyBorder="1" applyAlignment="1">
      <alignment horizontal="center" vertical="center"/>
    </xf>
    <xf numFmtId="165" fontId="2" fillId="7" borderId="0" xfId="2" applyFont="1" applyFill="1" applyBorder="1" applyAlignment="1">
      <alignment horizontal="center" vertical="center"/>
    </xf>
    <xf numFmtId="14" fontId="6" fillId="9" borderId="0" xfId="0" applyNumberFormat="1" applyFont="1" applyFill="1" applyAlignment="1">
      <alignment horizontal="left" vertical="center"/>
    </xf>
    <xf numFmtId="14" fontId="13" fillId="9" borderId="0" xfId="0" applyNumberFormat="1" applyFont="1" applyFill="1" applyAlignment="1">
      <alignment horizontal="left" vertical="center" wrapText="1"/>
    </xf>
    <xf numFmtId="14" fontId="13" fillId="9" borderId="0" xfId="0" applyNumberFormat="1" applyFont="1" applyFill="1" applyAlignment="1">
      <alignment horizontal="left"/>
    </xf>
  </cellXfs>
  <cellStyles count="3">
    <cellStyle name="Comma" xfId="2" builtinId="3"/>
    <cellStyle name="Currency" xfId="1" builtinId="4"/>
    <cellStyle name="Normal" xfId="0" builtinId="0"/>
  </cellStyles>
  <dxfs count="30">
    <dxf>
      <fill>
        <patternFill patternType="solid">
          <fgColor rgb="FFB7B7B7"/>
          <bgColor rgb="FFB7B7B7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8CCCE2"/>
          <bgColor rgb="FF8CCCE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8CCCE2"/>
          <bgColor rgb="FF8CCCE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B7B7B7"/>
          <bgColor rgb="FFB7B7B7"/>
        </patternFill>
      </fill>
    </dxf>
    <dxf>
      <fill>
        <patternFill patternType="solid">
          <fgColor rgb="FF57BB8A"/>
          <bgColor rgb="FF57BB8A"/>
        </patternFill>
      </fill>
    </dxf>
    <dxf>
      <fill>
        <patternFill patternType="solid">
          <fgColor rgb="FF8CCCE2"/>
          <bgColor rgb="FF8CCCE2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rgb="FF00FFFF"/>
          <bgColor rgb="FF00FFFF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5B9BD5"/>
          <bgColor rgb="FF5B9BD5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AA1047"/>
  <sheetViews>
    <sheetView showGridLines="0" tabSelected="1" zoomScale="60" zoomScaleNormal="60" workbookViewId="0">
      <pane xSplit="2" topLeftCell="C1" activePane="topRight" state="frozen"/>
      <selection pane="topRight" activeCell="I35" sqref="I35"/>
    </sheetView>
  </sheetViews>
  <sheetFormatPr defaultColWidth="12.5703125" defaultRowHeight="15.75" customHeight="1" x14ac:dyDescent="0.2"/>
  <cols>
    <col min="1" max="1" width="3.140625" customWidth="1"/>
    <col min="2" max="2" width="57.85546875" bestFit="1" customWidth="1"/>
    <col min="3" max="3" width="12.42578125" style="3" bestFit="1" customWidth="1"/>
    <col min="4" max="4" width="13.140625" style="3" customWidth="1"/>
    <col min="6" max="6" width="22" customWidth="1"/>
    <col min="7" max="7" width="15.140625" customWidth="1"/>
    <col min="8" max="8" width="18.5703125" customWidth="1"/>
    <col min="9" max="9" width="20.85546875" style="4" customWidth="1"/>
    <col min="10" max="10" width="25.28515625" style="4" customWidth="1"/>
    <col min="11" max="11" width="22.42578125" style="4" bestFit="1" customWidth="1"/>
    <col min="12" max="12" width="18.7109375" style="35" bestFit="1" customWidth="1"/>
    <col min="13" max="13" width="24" style="24" customWidth="1"/>
    <col min="14" max="14" width="24" style="24" hidden="1" customWidth="1"/>
    <col min="15" max="15" width="26.5703125" style="24" customWidth="1"/>
    <col min="16" max="16" width="32.140625" style="4" customWidth="1"/>
    <col min="17" max="17" width="5.140625" customWidth="1"/>
    <col min="18" max="19" width="22" customWidth="1"/>
    <col min="20" max="20" width="17.140625" customWidth="1"/>
    <col min="21" max="21" width="21.7109375" customWidth="1"/>
    <col min="22" max="22" width="20.140625" customWidth="1"/>
  </cols>
  <sheetData>
    <row r="2" spans="2:22" ht="15.75" customHeight="1" x14ac:dyDescent="0.2">
      <c r="K2" s="4">
        <v>1476</v>
      </c>
    </row>
    <row r="3" spans="2:22" s="1" customFormat="1" ht="48.75" customHeight="1" x14ac:dyDescent="0.2">
      <c r="B3" s="46" t="s">
        <v>0</v>
      </c>
      <c r="C3" s="47" t="s">
        <v>1</v>
      </c>
      <c r="D3" s="47" t="s">
        <v>2</v>
      </c>
      <c r="E3" s="46" t="s">
        <v>3</v>
      </c>
      <c r="F3" s="46" t="s">
        <v>4</v>
      </c>
      <c r="G3" s="46" t="s">
        <v>5</v>
      </c>
      <c r="H3" s="46" t="s">
        <v>6</v>
      </c>
      <c r="I3" s="48" t="s">
        <v>7</v>
      </c>
      <c r="J3" s="48" t="s">
        <v>8</v>
      </c>
      <c r="K3" s="48" t="s">
        <v>9</v>
      </c>
      <c r="L3" s="49" t="s">
        <v>10</v>
      </c>
      <c r="M3" s="50" t="s">
        <v>11</v>
      </c>
      <c r="N3" s="50" t="s">
        <v>12</v>
      </c>
      <c r="O3" s="50" t="s">
        <v>13</v>
      </c>
      <c r="P3" s="48" t="s">
        <v>14</v>
      </c>
    </row>
    <row r="4" spans="2:22" ht="15.75" customHeight="1" x14ac:dyDescent="0.2">
      <c r="B4" s="51"/>
      <c r="C4" s="52"/>
      <c r="D4" s="52"/>
      <c r="E4" s="51"/>
      <c r="F4" s="51"/>
      <c r="G4" s="51"/>
      <c r="H4" s="51"/>
      <c r="I4" s="53"/>
      <c r="J4" s="53"/>
      <c r="K4" s="53"/>
      <c r="L4" s="54">
        <f>I4+J4+K4</f>
        <v>0</v>
      </c>
      <c r="M4" s="55"/>
      <c r="N4" s="55"/>
      <c r="O4" s="55"/>
      <c r="P4" s="56" t="str">
        <f t="shared" ref="P4:P90" si="0">IFERROR(L4/M4,"")</f>
        <v/>
      </c>
      <c r="R4" s="76" t="s">
        <v>15</v>
      </c>
      <c r="S4" s="76" t="s">
        <v>16</v>
      </c>
      <c r="T4" s="77" t="s">
        <v>17</v>
      </c>
      <c r="U4" s="77" t="s">
        <v>18</v>
      </c>
      <c r="V4" s="77" t="s">
        <v>19</v>
      </c>
    </row>
    <row r="5" spans="2:22" ht="15.75" customHeight="1" x14ac:dyDescent="0.2">
      <c r="B5" s="51"/>
      <c r="C5" s="52"/>
      <c r="D5" s="52"/>
      <c r="E5" s="51"/>
      <c r="F5" s="51"/>
      <c r="G5" s="51"/>
      <c r="H5" s="51"/>
      <c r="I5" s="53"/>
      <c r="J5" s="53"/>
      <c r="K5" s="53"/>
      <c r="L5" s="57">
        <f t="shared" ref="L5:L90" si="1">I5+J5+K5</f>
        <v>0</v>
      </c>
      <c r="M5" s="58"/>
      <c r="N5" s="58"/>
      <c r="O5" s="55"/>
      <c r="P5" s="56" t="str">
        <f t="shared" si="0"/>
        <v/>
      </c>
      <c r="R5" s="7" t="s">
        <v>20</v>
      </c>
      <c r="S5" s="78"/>
      <c r="T5" s="5"/>
      <c r="U5" s="6"/>
      <c r="V5" s="5" t="e">
        <f>T5/U5</f>
        <v>#DIV/0!</v>
      </c>
    </row>
    <row r="6" spans="2:22" ht="15.75" customHeight="1" x14ac:dyDescent="0.2">
      <c r="B6" s="51"/>
      <c r="C6" s="52"/>
      <c r="D6" s="52"/>
      <c r="E6" s="51"/>
      <c r="F6" s="51"/>
      <c r="G6" s="51"/>
      <c r="H6" s="51"/>
      <c r="I6" s="53"/>
      <c r="J6" s="53"/>
      <c r="K6" s="53"/>
      <c r="L6" s="57">
        <f t="shared" si="1"/>
        <v>0</v>
      </c>
      <c r="M6" s="58"/>
      <c r="N6" s="58"/>
      <c r="O6" s="55"/>
      <c r="P6" s="56" t="str">
        <f t="shared" si="0"/>
        <v/>
      </c>
      <c r="R6" s="7" t="s">
        <v>21</v>
      </c>
      <c r="S6" s="78"/>
      <c r="T6" s="5"/>
      <c r="U6" s="6"/>
      <c r="V6" s="5" t="e">
        <f>T6/U6</f>
        <v>#DIV/0!</v>
      </c>
    </row>
    <row r="7" spans="2:22" ht="15.75" customHeight="1" x14ac:dyDescent="0.2">
      <c r="B7" s="51"/>
      <c r="C7" s="52"/>
      <c r="D7" s="52"/>
      <c r="E7" s="51"/>
      <c r="F7" s="51"/>
      <c r="G7" s="51"/>
      <c r="H7" s="51"/>
      <c r="I7" s="53"/>
      <c r="J7" s="53"/>
      <c r="K7" s="53"/>
      <c r="L7" s="57">
        <f t="shared" si="1"/>
        <v>0</v>
      </c>
      <c r="M7" s="58"/>
      <c r="N7" s="58"/>
      <c r="O7" s="55"/>
      <c r="P7" s="56" t="str">
        <f t="shared" si="0"/>
        <v/>
      </c>
      <c r="R7" s="7" t="s">
        <v>22</v>
      </c>
      <c r="S7" s="78"/>
      <c r="T7" s="5"/>
      <c r="U7" s="6"/>
      <c r="V7" s="5" t="e">
        <f>T7/U7</f>
        <v>#DIV/0!</v>
      </c>
    </row>
    <row r="8" spans="2:22" ht="15.75" customHeight="1" x14ac:dyDescent="0.2">
      <c r="B8" s="51"/>
      <c r="C8" s="52"/>
      <c r="D8" s="52"/>
      <c r="E8" s="51"/>
      <c r="F8" s="51"/>
      <c r="G8" s="51"/>
      <c r="H8" s="51"/>
      <c r="I8" s="53"/>
      <c r="J8" s="53"/>
      <c r="K8" s="53"/>
      <c r="L8" s="57">
        <f t="shared" si="1"/>
        <v>0</v>
      </c>
      <c r="M8" s="58"/>
      <c r="N8" s="58"/>
      <c r="O8" s="55"/>
      <c r="P8" s="56" t="str">
        <f>IFERROR(L8/M8,"")</f>
        <v/>
      </c>
    </row>
    <row r="9" spans="2:22" ht="15.75" customHeight="1" x14ac:dyDescent="0.2">
      <c r="B9" s="51"/>
      <c r="C9" s="52"/>
      <c r="D9" s="52"/>
      <c r="E9" s="51"/>
      <c r="F9" s="51"/>
      <c r="G9" s="51"/>
      <c r="H9" s="51"/>
      <c r="I9" s="53"/>
      <c r="J9" s="53"/>
      <c r="K9" s="53"/>
      <c r="L9" s="57">
        <f t="shared" si="1"/>
        <v>0</v>
      </c>
      <c r="M9" s="58"/>
      <c r="N9" s="58"/>
      <c r="O9" s="55"/>
      <c r="P9" s="56" t="str">
        <f t="shared" si="0"/>
        <v/>
      </c>
    </row>
    <row r="10" spans="2:22" ht="15.75" customHeight="1" x14ac:dyDescent="0.2">
      <c r="B10" s="51"/>
      <c r="C10" s="52"/>
      <c r="D10" s="52"/>
      <c r="E10" s="51"/>
      <c r="F10" s="51"/>
      <c r="G10" s="51"/>
      <c r="H10" s="51"/>
      <c r="I10" s="53"/>
      <c r="J10" s="53"/>
      <c r="K10" s="53"/>
      <c r="L10" s="57">
        <f t="shared" si="1"/>
        <v>0</v>
      </c>
      <c r="M10" s="58"/>
      <c r="N10" s="58"/>
      <c r="O10" s="55"/>
      <c r="P10" s="56" t="str">
        <f t="shared" si="0"/>
        <v/>
      </c>
    </row>
    <row r="11" spans="2:22" ht="15.75" customHeight="1" x14ac:dyDescent="0.2">
      <c r="B11" s="51"/>
      <c r="C11" s="52"/>
      <c r="D11" s="52"/>
      <c r="E11" s="51"/>
      <c r="F11" s="51"/>
      <c r="G11" s="51"/>
      <c r="H11" s="51"/>
      <c r="I11" s="53"/>
      <c r="J11" s="53"/>
      <c r="K11" s="53"/>
      <c r="L11" s="57">
        <f t="shared" si="1"/>
        <v>0</v>
      </c>
      <c r="M11" s="58"/>
      <c r="N11" s="58"/>
      <c r="O11" s="55"/>
      <c r="P11" s="56" t="str">
        <f t="shared" si="0"/>
        <v/>
      </c>
    </row>
    <row r="12" spans="2:22" ht="15.75" customHeight="1" x14ac:dyDescent="0.2">
      <c r="B12" s="51"/>
      <c r="C12" s="52"/>
      <c r="D12" s="52"/>
      <c r="E12" s="51"/>
      <c r="F12" s="51"/>
      <c r="G12" s="51"/>
      <c r="H12" s="51"/>
      <c r="I12" s="53"/>
      <c r="J12" s="53"/>
      <c r="K12" s="53"/>
      <c r="L12" s="57">
        <f t="shared" si="1"/>
        <v>0</v>
      </c>
      <c r="M12" s="58"/>
      <c r="N12" s="58"/>
      <c r="O12" s="55"/>
      <c r="P12" s="56" t="str">
        <f t="shared" si="0"/>
        <v/>
      </c>
    </row>
    <row r="13" spans="2:22" ht="15.75" customHeight="1" x14ac:dyDescent="0.2">
      <c r="B13" s="51"/>
      <c r="C13" s="52"/>
      <c r="D13" s="52"/>
      <c r="E13" s="51"/>
      <c r="F13" s="51"/>
      <c r="G13" s="51"/>
      <c r="H13" s="51"/>
      <c r="I13" s="53"/>
      <c r="J13" s="53"/>
      <c r="K13" s="53"/>
      <c r="L13" s="57">
        <f t="shared" si="1"/>
        <v>0</v>
      </c>
      <c r="M13" s="58"/>
      <c r="N13" s="58"/>
      <c r="O13" s="55"/>
      <c r="P13" s="56" t="str">
        <f t="shared" si="0"/>
        <v/>
      </c>
    </row>
    <row r="14" spans="2:22" ht="15.75" customHeight="1" x14ac:dyDescent="0.2">
      <c r="B14" s="51"/>
      <c r="C14" s="52"/>
      <c r="D14" s="52"/>
      <c r="E14" s="51"/>
      <c r="F14" s="51"/>
      <c r="G14" s="51"/>
      <c r="H14" s="51"/>
      <c r="I14" s="53"/>
      <c r="J14" s="53"/>
      <c r="K14" s="53"/>
      <c r="L14" s="57">
        <f t="shared" si="1"/>
        <v>0</v>
      </c>
      <c r="M14" s="58"/>
      <c r="N14" s="58"/>
      <c r="O14" s="55"/>
      <c r="P14" s="56" t="str">
        <f t="shared" si="0"/>
        <v/>
      </c>
    </row>
    <row r="15" spans="2:22" ht="15.75" customHeight="1" x14ac:dyDescent="0.2">
      <c r="B15" s="51"/>
      <c r="C15" s="52"/>
      <c r="D15" s="52"/>
      <c r="E15" s="51"/>
      <c r="F15" s="51"/>
      <c r="G15" s="51"/>
      <c r="H15" s="51"/>
      <c r="I15" s="53"/>
      <c r="J15" s="53"/>
      <c r="K15" s="53"/>
      <c r="L15" s="57">
        <f t="shared" si="1"/>
        <v>0</v>
      </c>
      <c r="M15" s="58"/>
      <c r="N15" s="58"/>
      <c r="O15" s="55"/>
      <c r="P15" s="56" t="str">
        <f t="shared" si="0"/>
        <v/>
      </c>
    </row>
    <row r="16" spans="2:22" ht="15.75" customHeight="1" x14ac:dyDescent="0.2">
      <c r="B16" s="51"/>
      <c r="C16" s="52"/>
      <c r="D16" s="52"/>
      <c r="E16" s="51"/>
      <c r="F16" s="51"/>
      <c r="G16" s="51"/>
      <c r="H16" s="51"/>
      <c r="I16" s="53"/>
      <c r="J16" s="53"/>
      <c r="K16" s="53"/>
      <c r="L16" s="57">
        <f t="shared" si="1"/>
        <v>0</v>
      </c>
      <c r="M16" s="58"/>
      <c r="N16" s="58"/>
      <c r="O16" s="55"/>
      <c r="P16" s="56" t="str">
        <f t="shared" si="0"/>
        <v/>
      </c>
    </row>
    <row r="17" spans="2:16" ht="15.75" customHeight="1" x14ac:dyDescent="0.2">
      <c r="B17" s="51"/>
      <c r="C17" s="52"/>
      <c r="D17" s="52"/>
      <c r="E17" s="51"/>
      <c r="F17" s="51"/>
      <c r="G17" s="51"/>
      <c r="H17" s="51"/>
      <c r="I17" s="53"/>
      <c r="J17" s="53"/>
      <c r="K17" s="53"/>
      <c r="L17" s="57">
        <f t="shared" si="1"/>
        <v>0</v>
      </c>
      <c r="M17" s="58"/>
      <c r="N17" s="58"/>
      <c r="O17" s="55"/>
      <c r="P17" s="56" t="str">
        <f t="shared" si="0"/>
        <v/>
      </c>
    </row>
    <row r="18" spans="2:16" ht="15.75" customHeight="1" x14ac:dyDescent="0.2">
      <c r="B18" s="51"/>
      <c r="C18" s="52"/>
      <c r="D18" s="52"/>
      <c r="E18" s="51"/>
      <c r="F18" s="51"/>
      <c r="G18" s="51"/>
      <c r="H18" s="51"/>
      <c r="I18" s="53"/>
      <c r="J18" s="53"/>
      <c r="K18" s="53"/>
      <c r="L18" s="57">
        <f t="shared" si="1"/>
        <v>0</v>
      </c>
      <c r="M18" s="58"/>
      <c r="N18" s="58"/>
      <c r="O18" s="55"/>
      <c r="P18" s="56" t="str">
        <f t="shared" si="0"/>
        <v/>
      </c>
    </row>
    <row r="19" spans="2:16" ht="15.75" customHeight="1" x14ac:dyDescent="0.2">
      <c r="B19" s="51"/>
      <c r="C19" s="52"/>
      <c r="D19" s="52"/>
      <c r="E19" s="51"/>
      <c r="F19" s="51"/>
      <c r="G19" s="51"/>
      <c r="H19" s="51"/>
      <c r="I19" s="53"/>
      <c r="J19" s="53"/>
      <c r="K19" s="53"/>
      <c r="L19" s="57">
        <f t="shared" si="1"/>
        <v>0</v>
      </c>
      <c r="M19" s="58"/>
      <c r="N19" s="58"/>
      <c r="O19" s="55"/>
      <c r="P19" s="56" t="str">
        <f t="shared" si="0"/>
        <v/>
      </c>
    </row>
    <row r="20" spans="2:16" ht="15.75" customHeight="1" x14ac:dyDescent="0.2">
      <c r="B20" s="51"/>
      <c r="C20" s="52"/>
      <c r="D20" s="52"/>
      <c r="E20" s="51"/>
      <c r="F20" s="51"/>
      <c r="G20" s="51"/>
      <c r="H20" s="51"/>
      <c r="I20" s="53"/>
      <c r="J20" s="53"/>
      <c r="K20" s="53"/>
      <c r="L20" s="57">
        <f t="shared" si="1"/>
        <v>0</v>
      </c>
      <c r="M20" s="58"/>
      <c r="N20" s="58"/>
      <c r="O20" s="55"/>
      <c r="P20" s="56" t="str">
        <f t="shared" si="0"/>
        <v/>
      </c>
    </row>
    <row r="21" spans="2:16" ht="15.75" customHeight="1" x14ac:dyDescent="0.2">
      <c r="B21" s="51"/>
      <c r="C21" s="52"/>
      <c r="D21" s="52"/>
      <c r="E21" s="51"/>
      <c r="F21" s="51"/>
      <c r="G21" s="51"/>
      <c r="H21" s="51"/>
      <c r="I21" s="53"/>
      <c r="J21" s="53"/>
      <c r="K21" s="53"/>
      <c r="L21" s="57">
        <f t="shared" si="1"/>
        <v>0</v>
      </c>
      <c r="M21" s="58"/>
      <c r="N21" s="58"/>
      <c r="O21" s="55"/>
      <c r="P21" s="56" t="str">
        <f t="shared" si="0"/>
        <v/>
      </c>
    </row>
    <row r="22" spans="2:16" ht="15.75" customHeight="1" x14ac:dyDescent="0.2">
      <c r="B22" s="51"/>
      <c r="C22" s="52"/>
      <c r="D22" s="52"/>
      <c r="E22" s="51"/>
      <c r="F22" s="51"/>
      <c r="G22" s="51"/>
      <c r="H22" s="51"/>
      <c r="I22" s="53"/>
      <c r="J22" s="53"/>
      <c r="K22" s="53"/>
      <c r="L22" s="57">
        <f t="shared" si="1"/>
        <v>0</v>
      </c>
      <c r="M22" s="58"/>
      <c r="N22" s="58"/>
      <c r="O22" s="55"/>
      <c r="P22" s="56" t="str">
        <f t="shared" si="0"/>
        <v/>
      </c>
    </row>
    <row r="23" spans="2:16" ht="15.75" customHeight="1" x14ac:dyDescent="0.2">
      <c r="B23" s="51"/>
      <c r="C23" s="52"/>
      <c r="D23" s="52"/>
      <c r="E23" s="51"/>
      <c r="F23" s="51"/>
      <c r="G23" s="51"/>
      <c r="H23" s="51"/>
      <c r="I23" s="53"/>
      <c r="J23" s="53"/>
      <c r="K23" s="53"/>
      <c r="L23" s="57">
        <f t="shared" si="1"/>
        <v>0</v>
      </c>
      <c r="M23" s="58"/>
      <c r="N23" s="58"/>
      <c r="O23" s="55"/>
      <c r="P23" s="56" t="str">
        <f t="shared" si="0"/>
        <v/>
      </c>
    </row>
    <row r="24" spans="2:16" ht="15.75" customHeight="1" x14ac:dyDescent="0.2">
      <c r="B24" s="51"/>
      <c r="C24" s="52"/>
      <c r="D24" s="52"/>
      <c r="E24" s="51"/>
      <c r="F24" s="51"/>
      <c r="G24" s="51"/>
      <c r="H24" s="51"/>
      <c r="I24" s="53"/>
      <c r="J24" s="53"/>
      <c r="K24" s="53"/>
      <c r="L24" s="57">
        <f t="shared" si="1"/>
        <v>0</v>
      </c>
      <c r="M24" s="58"/>
      <c r="N24" s="58"/>
      <c r="O24" s="55"/>
      <c r="P24" s="56" t="str">
        <f t="shared" si="0"/>
        <v/>
      </c>
    </row>
    <row r="25" spans="2:16" ht="15.75" customHeight="1" x14ac:dyDescent="0.2">
      <c r="B25" s="51"/>
      <c r="C25" s="52"/>
      <c r="D25" s="52"/>
      <c r="E25" s="51"/>
      <c r="F25" s="51"/>
      <c r="G25" s="51"/>
      <c r="H25" s="51"/>
      <c r="I25" s="53"/>
      <c r="J25" s="53"/>
      <c r="K25" s="53"/>
      <c r="L25" s="57">
        <f t="shared" si="1"/>
        <v>0</v>
      </c>
      <c r="M25" s="58"/>
      <c r="N25" s="58"/>
      <c r="O25" s="55"/>
      <c r="P25" s="56" t="str">
        <f t="shared" si="0"/>
        <v/>
      </c>
    </row>
    <row r="26" spans="2:16" ht="15.75" customHeight="1" x14ac:dyDescent="0.2">
      <c r="B26" s="51"/>
      <c r="C26" s="52"/>
      <c r="D26" s="52"/>
      <c r="E26" s="51"/>
      <c r="F26" s="51"/>
      <c r="G26" s="51"/>
      <c r="H26" s="51"/>
      <c r="I26" s="53"/>
      <c r="J26" s="53"/>
      <c r="K26" s="53"/>
      <c r="L26" s="57">
        <f t="shared" si="1"/>
        <v>0</v>
      </c>
      <c r="M26" s="58"/>
      <c r="N26" s="58"/>
      <c r="O26" s="55"/>
      <c r="P26" s="56" t="str">
        <f t="shared" si="0"/>
        <v/>
      </c>
    </row>
    <row r="27" spans="2:16" ht="15.75" customHeight="1" x14ac:dyDescent="0.2">
      <c r="B27" s="59"/>
      <c r="C27" s="60"/>
      <c r="D27" s="60"/>
      <c r="E27" s="59"/>
      <c r="F27" s="59"/>
      <c r="G27" s="59"/>
      <c r="H27" s="59"/>
      <c r="I27" s="61"/>
      <c r="J27" s="61"/>
      <c r="K27" s="61"/>
      <c r="L27" s="62">
        <f t="shared" si="1"/>
        <v>0</v>
      </c>
      <c r="M27" s="63"/>
      <c r="N27" s="63"/>
      <c r="O27" s="64"/>
      <c r="P27" s="65" t="str">
        <f t="shared" si="0"/>
        <v/>
      </c>
    </row>
    <row r="28" spans="2:16" ht="15.75" customHeight="1" x14ac:dyDescent="0.2">
      <c r="B28" s="66"/>
      <c r="C28" s="67"/>
      <c r="D28" s="67"/>
      <c r="E28" s="66"/>
      <c r="F28" s="66"/>
      <c r="G28" s="66"/>
      <c r="H28" s="66"/>
      <c r="I28" s="68"/>
      <c r="J28" s="68"/>
      <c r="K28" s="68"/>
      <c r="L28" s="69">
        <f t="shared" si="1"/>
        <v>0</v>
      </c>
      <c r="M28" s="70"/>
      <c r="N28" s="70"/>
      <c r="O28" s="71"/>
      <c r="P28" s="72" t="str">
        <f t="shared" si="0"/>
        <v/>
      </c>
    </row>
    <row r="29" spans="2:16" ht="15.75" customHeight="1" x14ac:dyDescent="0.2">
      <c r="B29" s="66"/>
      <c r="C29" s="67"/>
      <c r="D29" s="67"/>
      <c r="E29" s="66"/>
      <c r="F29" s="66"/>
      <c r="G29" s="66"/>
      <c r="H29" s="66"/>
      <c r="I29" s="68"/>
      <c r="J29" s="68"/>
      <c r="K29" s="68"/>
      <c r="L29" s="69">
        <f t="shared" si="1"/>
        <v>0</v>
      </c>
      <c r="M29" s="70"/>
      <c r="N29" s="70"/>
      <c r="O29" s="71"/>
      <c r="P29" s="72" t="str">
        <f t="shared" si="0"/>
        <v/>
      </c>
    </row>
    <row r="30" spans="2:16" ht="15.75" customHeight="1" x14ac:dyDescent="0.25">
      <c r="B30" s="73"/>
      <c r="C30" s="203" t="s">
        <v>23</v>
      </c>
      <c r="D30" s="203"/>
      <c r="E30" s="93">
        <v>26</v>
      </c>
      <c r="F30" s="74"/>
      <c r="G30" s="75"/>
      <c r="H30" s="73"/>
      <c r="I30" s="94">
        <f>SUM(I4:I29)</f>
        <v>0</v>
      </c>
      <c r="J30" s="94">
        <f>SUM(J4:J29)</f>
        <v>0</v>
      </c>
      <c r="K30" s="95">
        <f>E31*K2</f>
        <v>41328</v>
      </c>
      <c r="L30" s="96">
        <f>SUM(I30:K30)</f>
        <v>41328</v>
      </c>
      <c r="M30" s="97">
        <f>SUM(M4:M29)</f>
        <v>0</v>
      </c>
      <c r="N30" s="97"/>
      <c r="O30" s="97">
        <f>SUM(O4:O29)</f>
        <v>0</v>
      </c>
      <c r="P30" s="95" t="e">
        <f>L30/M30</f>
        <v>#DIV/0!</v>
      </c>
    </row>
    <row r="31" spans="2:16" ht="15.75" customHeight="1" x14ac:dyDescent="0.25">
      <c r="B31" s="73"/>
      <c r="C31" s="202" t="s">
        <v>24</v>
      </c>
      <c r="D31" s="202"/>
      <c r="E31" s="105">
        <v>28</v>
      </c>
      <c r="F31" s="74"/>
      <c r="G31" s="75"/>
      <c r="H31" s="73"/>
      <c r="I31" s="101"/>
      <c r="J31" s="101"/>
      <c r="K31" s="102"/>
      <c r="L31" s="103"/>
      <c r="M31" s="104"/>
      <c r="N31" s="104"/>
      <c r="O31" s="104"/>
      <c r="P31" s="102"/>
    </row>
    <row r="32" spans="2:16" ht="15.75" customHeight="1" x14ac:dyDescent="0.25">
      <c r="B32" s="73"/>
      <c r="C32" s="99"/>
      <c r="D32" s="99"/>
      <c r="E32" s="100"/>
      <c r="F32" s="74"/>
      <c r="G32" s="75"/>
      <c r="H32" s="73"/>
      <c r="I32" s="101"/>
      <c r="J32" s="101"/>
      <c r="K32" s="102"/>
      <c r="L32" s="103"/>
      <c r="M32" s="104"/>
      <c r="N32" s="104"/>
      <c r="O32" s="104"/>
      <c r="P32" s="102"/>
    </row>
    <row r="33" spans="2:22" ht="15.75" customHeight="1" x14ac:dyDescent="0.25">
      <c r="B33" s="13"/>
      <c r="E33" s="21"/>
      <c r="G33" s="45"/>
      <c r="H33" s="13"/>
      <c r="I33" s="41"/>
      <c r="J33" s="41"/>
      <c r="K33" s="42"/>
      <c r="L33" s="43"/>
      <c r="M33" s="44"/>
      <c r="N33" s="44"/>
      <c r="O33" s="44"/>
      <c r="P33" s="42"/>
    </row>
    <row r="34" spans="2:22" ht="52.15" customHeight="1" x14ac:dyDescent="0.2">
      <c r="B34" s="46" t="s">
        <v>25</v>
      </c>
      <c r="C34" s="47" t="s">
        <v>1</v>
      </c>
      <c r="D34" s="47" t="s">
        <v>2</v>
      </c>
      <c r="E34" s="46" t="s">
        <v>3</v>
      </c>
      <c r="F34" s="46" t="s">
        <v>4</v>
      </c>
      <c r="G34" s="46" t="s">
        <v>5</v>
      </c>
      <c r="H34" s="46" t="s">
        <v>6</v>
      </c>
      <c r="I34" s="48" t="s">
        <v>7</v>
      </c>
      <c r="J34" s="48" t="s">
        <v>8</v>
      </c>
      <c r="K34" s="48" t="s">
        <v>9</v>
      </c>
      <c r="L34" s="49" t="s">
        <v>10</v>
      </c>
      <c r="M34" s="50" t="s">
        <v>11</v>
      </c>
      <c r="N34" s="50" t="s">
        <v>12</v>
      </c>
      <c r="O34" s="50" t="s">
        <v>13</v>
      </c>
      <c r="P34" s="48" t="s">
        <v>14</v>
      </c>
    </row>
    <row r="35" spans="2:22" ht="15.75" customHeight="1" x14ac:dyDescent="0.2">
      <c r="B35" s="14" t="s">
        <v>26</v>
      </c>
      <c r="C35" s="15">
        <v>45352</v>
      </c>
      <c r="D35" s="15">
        <v>45354</v>
      </c>
      <c r="E35" s="14">
        <v>3</v>
      </c>
      <c r="F35" s="14" t="s">
        <v>27</v>
      </c>
      <c r="G35" s="14" t="s">
        <v>28</v>
      </c>
      <c r="H35" s="14" t="s">
        <v>20</v>
      </c>
      <c r="I35" s="12"/>
      <c r="J35" s="12"/>
      <c r="K35" s="12">
        <f t="shared" ref="K35:K53" si="2">$K$2*E35</f>
        <v>4428</v>
      </c>
      <c r="L35" s="37">
        <f t="shared" si="1"/>
        <v>4428</v>
      </c>
      <c r="M35" s="27"/>
      <c r="N35" s="27"/>
      <c r="O35" s="27"/>
      <c r="P35" s="32" t="str">
        <f t="shared" si="0"/>
        <v/>
      </c>
      <c r="R35" s="76" t="s">
        <v>15</v>
      </c>
      <c r="S35" s="76" t="s">
        <v>16</v>
      </c>
      <c r="T35" s="77" t="s">
        <v>17</v>
      </c>
      <c r="U35" s="77" t="s">
        <v>18</v>
      </c>
      <c r="V35" s="77" t="s">
        <v>19</v>
      </c>
    </row>
    <row r="36" spans="2:22" ht="15.75" customHeight="1" x14ac:dyDescent="0.2">
      <c r="B36" s="14"/>
      <c r="C36" s="15"/>
      <c r="D36" s="15"/>
      <c r="E36" s="14"/>
      <c r="F36" s="14"/>
      <c r="G36" s="14"/>
      <c r="H36" s="14"/>
      <c r="I36" s="12"/>
      <c r="J36" s="12"/>
      <c r="K36" s="12"/>
      <c r="L36" s="37">
        <f t="shared" si="1"/>
        <v>0</v>
      </c>
      <c r="M36" s="27"/>
      <c r="N36" s="27"/>
      <c r="O36" s="27"/>
      <c r="P36" s="32" t="str">
        <f t="shared" si="0"/>
        <v/>
      </c>
      <c r="R36" s="7" t="s">
        <v>20</v>
      </c>
      <c r="S36" s="78"/>
      <c r="T36" s="5"/>
      <c r="U36" s="6"/>
      <c r="V36" s="5" t="e">
        <f>T36/U36</f>
        <v>#DIV/0!</v>
      </c>
    </row>
    <row r="37" spans="2:22" ht="15.75" customHeight="1" x14ac:dyDescent="0.2">
      <c r="B37" s="16"/>
      <c r="C37" s="17"/>
      <c r="D37" s="17"/>
      <c r="E37" s="16"/>
      <c r="F37" s="16"/>
      <c r="G37" s="16"/>
      <c r="H37" s="14"/>
      <c r="I37" s="18"/>
      <c r="J37" s="12"/>
      <c r="K37" s="18">
        <f t="shared" si="2"/>
        <v>0</v>
      </c>
      <c r="L37" s="38">
        <f t="shared" si="1"/>
        <v>0</v>
      </c>
      <c r="M37" s="28"/>
      <c r="N37" s="28"/>
      <c r="O37" s="28"/>
      <c r="P37" s="33" t="str">
        <f t="shared" si="0"/>
        <v/>
      </c>
      <c r="R37" s="7" t="s">
        <v>22</v>
      </c>
      <c r="S37" s="78"/>
      <c r="T37" s="5"/>
      <c r="U37" s="199"/>
      <c r="V37" s="5" t="e">
        <f>T37/U37</f>
        <v>#DIV/0!</v>
      </c>
    </row>
    <row r="38" spans="2:22" ht="15.75" customHeight="1" x14ac:dyDescent="0.2">
      <c r="B38" s="8"/>
      <c r="C38" s="9"/>
      <c r="D38" s="9"/>
      <c r="E38" s="8"/>
      <c r="F38" s="8"/>
      <c r="G38" s="8"/>
      <c r="H38" s="8"/>
      <c r="I38" s="10"/>
      <c r="J38" s="12"/>
      <c r="K38" s="10"/>
      <c r="L38" s="36">
        <f t="shared" si="1"/>
        <v>0</v>
      </c>
      <c r="M38" s="25"/>
      <c r="N38" s="25"/>
      <c r="O38" s="25"/>
      <c r="P38" s="30" t="str">
        <f t="shared" si="0"/>
        <v/>
      </c>
      <c r="R38" s="7" t="s">
        <v>21</v>
      </c>
      <c r="S38" s="78"/>
      <c r="T38" s="5"/>
      <c r="U38" s="6"/>
      <c r="V38" s="5" t="e">
        <f>T38/U38</f>
        <v>#DIV/0!</v>
      </c>
    </row>
    <row r="39" spans="2:22" ht="15.75" customHeight="1" x14ac:dyDescent="0.2">
      <c r="B39" s="8"/>
      <c r="C39" s="9"/>
      <c r="D39" s="9"/>
      <c r="E39" s="8"/>
      <c r="F39" s="8"/>
      <c r="G39" s="8"/>
      <c r="H39" s="8"/>
      <c r="I39" s="10"/>
      <c r="J39" s="12"/>
      <c r="K39" s="10">
        <f t="shared" si="2"/>
        <v>0</v>
      </c>
      <c r="L39" s="36">
        <f t="shared" si="1"/>
        <v>0</v>
      </c>
      <c r="M39" s="25"/>
      <c r="N39" s="25"/>
      <c r="O39" s="25"/>
      <c r="P39" s="30" t="str">
        <f t="shared" si="0"/>
        <v/>
      </c>
    </row>
    <row r="40" spans="2:22" ht="15.75" customHeight="1" x14ac:dyDescent="0.2">
      <c r="B40" s="8"/>
      <c r="C40" s="9"/>
      <c r="D40" s="9"/>
      <c r="E40" s="8"/>
      <c r="F40" s="8"/>
      <c r="G40" s="8"/>
      <c r="H40" s="8"/>
      <c r="I40" s="10"/>
      <c r="J40" s="12"/>
      <c r="K40" s="10">
        <f t="shared" si="2"/>
        <v>0</v>
      </c>
      <c r="L40" s="36">
        <f t="shared" si="1"/>
        <v>0</v>
      </c>
      <c r="M40" s="25"/>
      <c r="N40" s="25"/>
      <c r="O40" s="25"/>
      <c r="P40" s="30" t="str">
        <f t="shared" si="0"/>
        <v/>
      </c>
    </row>
    <row r="41" spans="2:22" ht="15.75" customHeight="1" x14ac:dyDescent="0.2">
      <c r="B41" s="8"/>
      <c r="C41" s="9"/>
      <c r="D41" s="9"/>
      <c r="E41" s="8"/>
      <c r="F41" s="8"/>
      <c r="G41" s="8"/>
      <c r="H41" s="8"/>
      <c r="I41" s="10"/>
      <c r="J41" s="12"/>
      <c r="K41" s="10">
        <f t="shared" si="2"/>
        <v>0</v>
      </c>
      <c r="L41" s="36">
        <f t="shared" si="1"/>
        <v>0</v>
      </c>
      <c r="M41" s="25"/>
      <c r="N41" s="25"/>
      <c r="O41" s="25"/>
      <c r="P41" s="30" t="str">
        <f t="shared" si="0"/>
        <v/>
      </c>
    </row>
    <row r="42" spans="2:22" ht="15.75" customHeight="1" x14ac:dyDescent="0.2">
      <c r="B42" s="8"/>
      <c r="C42" s="9"/>
      <c r="D42" s="9"/>
      <c r="E42" s="8"/>
      <c r="F42" s="8"/>
      <c r="G42" s="8"/>
      <c r="H42" s="8"/>
      <c r="I42" s="10"/>
      <c r="J42" s="12"/>
      <c r="K42" s="10">
        <f t="shared" si="2"/>
        <v>0</v>
      </c>
      <c r="L42" s="36">
        <f t="shared" si="1"/>
        <v>0</v>
      </c>
      <c r="M42" s="25"/>
      <c r="N42" s="25"/>
      <c r="O42" s="25"/>
      <c r="P42" s="30" t="str">
        <f t="shared" si="0"/>
        <v/>
      </c>
    </row>
    <row r="43" spans="2:22" ht="15.75" customHeight="1" x14ac:dyDescent="0.2">
      <c r="B43" s="8"/>
      <c r="C43" s="9"/>
      <c r="D43" s="9"/>
      <c r="E43" s="8"/>
      <c r="F43" s="8"/>
      <c r="G43" s="8"/>
      <c r="H43" s="8"/>
      <c r="I43" s="10"/>
      <c r="J43" s="12"/>
      <c r="K43" s="10">
        <f t="shared" si="2"/>
        <v>0</v>
      </c>
      <c r="L43" s="36">
        <f t="shared" si="1"/>
        <v>0</v>
      </c>
      <c r="M43" s="25"/>
      <c r="N43" s="25"/>
      <c r="O43" s="25"/>
      <c r="P43" s="30" t="str">
        <f t="shared" si="0"/>
        <v/>
      </c>
    </row>
    <row r="44" spans="2:22" ht="15.75" customHeight="1" x14ac:dyDescent="0.2">
      <c r="B44" s="8"/>
      <c r="C44" s="9"/>
      <c r="D44" s="9"/>
      <c r="E44" s="8"/>
      <c r="F44" s="8"/>
      <c r="G44" s="8"/>
      <c r="H44" s="8"/>
      <c r="I44" s="10"/>
      <c r="J44" s="12"/>
      <c r="K44" s="10">
        <f t="shared" si="2"/>
        <v>0</v>
      </c>
      <c r="L44" s="36">
        <f t="shared" si="1"/>
        <v>0</v>
      </c>
      <c r="M44" s="25"/>
      <c r="N44" s="25"/>
      <c r="O44" s="25"/>
      <c r="P44" s="30" t="str">
        <f t="shared" si="0"/>
        <v/>
      </c>
    </row>
    <row r="45" spans="2:22" ht="15.75" customHeight="1" x14ac:dyDescent="0.2">
      <c r="B45" s="8"/>
      <c r="C45" s="9"/>
      <c r="D45" s="9"/>
      <c r="E45" s="8"/>
      <c r="F45" s="8"/>
      <c r="G45" s="8"/>
      <c r="H45" s="8"/>
      <c r="I45" s="10"/>
      <c r="J45" s="10"/>
      <c r="K45" s="10">
        <f t="shared" si="2"/>
        <v>0</v>
      </c>
      <c r="L45" s="36">
        <f t="shared" si="1"/>
        <v>0</v>
      </c>
      <c r="M45" s="25"/>
      <c r="N45" s="25"/>
      <c r="O45" s="25"/>
      <c r="P45" s="30" t="str">
        <f t="shared" si="0"/>
        <v/>
      </c>
    </row>
    <row r="46" spans="2:22" ht="15.75" customHeight="1" x14ac:dyDescent="0.2">
      <c r="B46" s="8"/>
      <c r="C46" s="9"/>
      <c r="D46" s="9"/>
      <c r="E46" s="8"/>
      <c r="F46" s="8"/>
      <c r="G46" s="8"/>
      <c r="H46" s="8"/>
      <c r="I46" s="10"/>
      <c r="J46" s="10"/>
      <c r="K46" s="10">
        <f t="shared" si="2"/>
        <v>0</v>
      </c>
      <c r="L46" s="36">
        <f t="shared" si="1"/>
        <v>0</v>
      </c>
      <c r="M46" s="25"/>
      <c r="N46" s="25"/>
      <c r="O46" s="25"/>
      <c r="P46" s="30" t="str">
        <f t="shared" si="0"/>
        <v/>
      </c>
    </row>
    <row r="47" spans="2:22" ht="15.75" customHeight="1" x14ac:dyDescent="0.2">
      <c r="B47" s="8"/>
      <c r="C47" s="9"/>
      <c r="D47" s="9"/>
      <c r="E47" s="8"/>
      <c r="F47" s="8"/>
      <c r="G47" s="8"/>
      <c r="H47" s="8"/>
      <c r="I47" s="10"/>
      <c r="J47" s="10"/>
      <c r="K47" s="10">
        <f t="shared" si="2"/>
        <v>0</v>
      </c>
      <c r="L47" s="36">
        <f t="shared" si="1"/>
        <v>0</v>
      </c>
      <c r="M47" s="25"/>
      <c r="N47" s="25"/>
      <c r="O47" s="25"/>
      <c r="P47" s="30" t="str">
        <f t="shared" si="0"/>
        <v/>
      </c>
    </row>
    <row r="48" spans="2:22" ht="15.75" customHeight="1" x14ac:dyDescent="0.2">
      <c r="B48" s="8"/>
      <c r="C48" s="9"/>
      <c r="D48" s="9"/>
      <c r="E48" s="8"/>
      <c r="F48" s="8"/>
      <c r="G48" s="8"/>
      <c r="H48" s="8"/>
      <c r="I48" s="10"/>
      <c r="J48" s="10"/>
      <c r="K48" s="10">
        <f t="shared" si="2"/>
        <v>0</v>
      </c>
      <c r="L48" s="36">
        <f t="shared" si="1"/>
        <v>0</v>
      </c>
      <c r="M48" s="25"/>
      <c r="N48" s="25"/>
      <c r="O48" s="25"/>
      <c r="P48" s="30" t="str">
        <f t="shared" si="0"/>
        <v/>
      </c>
    </row>
    <row r="49" spans="2:22" ht="15.75" customHeight="1" x14ac:dyDescent="0.2">
      <c r="B49" s="8"/>
      <c r="C49" s="9"/>
      <c r="D49" s="9"/>
      <c r="E49" s="8"/>
      <c r="F49" s="8"/>
      <c r="G49" s="8"/>
      <c r="H49" s="8"/>
      <c r="I49" s="10"/>
      <c r="J49" s="10"/>
      <c r="K49" s="10">
        <f t="shared" si="2"/>
        <v>0</v>
      </c>
      <c r="L49" s="36">
        <f t="shared" si="1"/>
        <v>0</v>
      </c>
      <c r="M49" s="25"/>
      <c r="N49" s="25"/>
      <c r="O49" s="25"/>
      <c r="P49" s="30" t="str">
        <f t="shared" si="0"/>
        <v/>
      </c>
    </row>
    <row r="50" spans="2:22" ht="15.75" customHeight="1" x14ac:dyDescent="0.2">
      <c r="B50" s="8"/>
      <c r="C50" s="9"/>
      <c r="D50" s="9"/>
      <c r="E50" s="8"/>
      <c r="F50" s="8"/>
      <c r="G50" s="8"/>
      <c r="H50" s="8"/>
      <c r="I50" s="10"/>
      <c r="J50" s="10"/>
      <c r="K50" s="10">
        <f t="shared" si="2"/>
        <v>0</v>
      </c>
      <c r="L50" s="36">
        <f t="shared" si="1"/>
        <v>0</v>
      </c>
      <c r="M50" s="25"/>
      <c r="N50" s="25"/>
      <c r="O50" s="25"/>
      <c r="P50" s="30" t="str">
        <f t="shared" si="0"/>
        <v/>
      </c>
    </row>
    <row r="51" spans="2:22" ht="15.75" customHeight="1" x14ac:dyDescent="0.2">
      <c r="B51" s="19"/>
      <c r="C51" s="20"/>
      <c r="D51" s="20"/>
      <c r="E51" s="19"/>
      <c r="F51" s="19"/>
      <c r="G51" s="19"/>
      <c r="H51" s="19"/>
      <c r="I51" s="11"/>
      <c r="J51" s="10"/>
      <c r="K51" s="11">
        <f t="shared" si="2"/>
        <v>0</v>
      </c>
      <c r="L51" s="39">
        <f t="shared" si="1"/>
        <v>0</v>
      </c>
      <c r="M51" s="26"/>
      <c r="N51" s="26"/>
      <c r="O51" s="26"/>
      <c r="P51" s="31" t="str">
        <f t="shared" si="0"/>
        <v/>
      </c>
    </row>
    <row r="52" spans="2:22" ht="15.75" customHeight="1" x14ac:dyDescent="0.2">
      <c r="B52" s="14"/>
      <c r="C52" s="15"/>
      <c r="D52" s="15"/>
      <c r="E52" s="14"/>
      <c r="F52" s="14"/>
      <c r="G52" s="14"/>
      <c r="H52" s="14"/>
      <c r="I52" s="12"/>
      <c r="J52" s="10"/>
      <c r="K52" s="12">
        <f t="shared" si="2"/>
        <v>0</v>
      </c>
      <c r="L52" s="37">
        <f t="shared" si="1"/>
        <v>0</v>
      </c>
      <c r="M52" s="27"/>
      <c r="N52" s="27"/>
      <c r="O52" s="27"/>
      <c r="P52" s="32" t="str">
        <f t="shared" si="0"/>
        <v/>
      </c>
    </row>
    <row r="53" spans="2:22" ht="15.75" customHeight="1" x14ac:dyDescent="0.2">
      <c r="B53" s="14"/>
      <c r="C53" s="15"/>
      <c r="D53" s="15"/>
      <c r="E53" s="14"/>
      <c r="F53" s="14"/>
      <c r="G53" s="14"/>
      <c r="H53" s="14"/>
      <c r="I53" s="12"/>
      <c r="J53" s="10"/>
      <c r="K53" s="12">
        <f t="shared" si="2"/>
        <v>0</v>
      </c>
      <c r="L53" s="37">
        <f t="shared" si="1"/>
        <v>0</v>
      </c>
      <c r="M53" s="27"/>
      <c r="N53" s="27"/>
      <c r="O53" s="27"/>
      <c r="P53" s="32" t="str">
        <f t="shared" si="0"/>
        <v/>
      </c>
    </row>
    <row r="54" spans="2:22" ht="15.75" customHeight="1" x14ac:dyDescent="0.2">
      <c r="B54" s="14"/>
      <c r="C54" s="15"/>
      <c r="D54" s="15"/>
      <c r="E54" s="14"/>
      <c r="F54" s="14"/>
      <c r="G54" s="14"/>
      <c r="H54" s="14"/>
      <c r="I54" s="12"/>
      <c r="J54" s="12"/>
      <c r="K54" s="12">
        <f>$K$2*E54</f>
        <v>0</v>
      </c>
      <c r="L54" s="37">
        <f>I54+J54+K54</f>
        <v>0</v>
      </c>
      <c r="M54" s="27"/>
      <c r="N54" s="27"/>
      <c r="O54" s="27"/>
      <c r="P54" s="32" t="str">
        <f>IFERROR(L54/M54,"")</f>
        <v/>
      </c>
    </row>
    <row r="55" spans="2:22" ht="15.75" customHeight="1" x14ac:dyDescent="0.2">
      <c r="B55" s="14"/>
      <c r="C55" s="15"/>
      <c r="D55" s="15"/>
      <c r="E55" s="14"/>
      <c r="F55" s="14"/>
      <c r="G55" s="14"/>
      <c r="H55" s="14"/>
      <c r="I55" s="12"/>
      <c r="J55" s="12"/>
      <c r="K55" s="12">
        <f>$K$2*E55</f>
        <v>0</v>
      </c>
      <c r="L55" s="37">
        <f>I55+J55+K55</f>
        <v>0</v>
      </c>
      <c r="M55" s="27"/>
      <c r="N55" s="27"/>
      <c r="O55" s="27"/>
      <c r="P55" s="32" t="str">
        <f t="shared" si="0"/>
        <v/>
      </c>
    </row>
    <row r="56" spans="2:22" ht="19.149999999999999" customHeight="1" x14ac:dyDescent="0.2">
      <c r="B56" s="21"/>
      <c r="C56" s="201" t="s">
        <v>23</v>
      </c>
      <c r="D56" s="201"/>
      <c r="E56" s="98">
        <f>SUM(E35:E55)</f>
        <v>3</v>
      </c>
      <c r="F56" s="21"/>
      <c r="G56" s="21"/>
      <c r="H56" s="21"/>
      <c r="I56" s="106">
        <f t="shared" ref="I56:O56" si="3">SUM(I35:I55)</f>
        <v>0</v>
      </c>
      <c r="J56" s="106">
        <f>SUM(J35:J55)</f>
        <v>0</v>
      </c>
      <c r="K56" s="106">
        <f>K2*E57</f>
        <v>104796</v>
      </c>
      <c r="L56" s="106">
        <f>SUM(I56:K56)</f>
        <v>104796</v>
      </c>
      <c r="M56" s="107">
        <f>SUM(M35:M55)</f>
        <v>0</v>
      </c>
      <c r="N56" s="106">
        <f t="shared" si="3"/>
        <v>0</v>
      </c>
      <c r="O56" s="200">
        <f t="shared" si="3"/>
        <v>0</v>
      </c>
      <c r="P56" s="108" t="e">
        <f>L56/M56</f>
        <v>#DIV/0!</v>
      </c>
    </row>
    <row r="57" spans="2:22" ht="15.75" customHeight="1" x14ac:dyDescent="0.2">
      <c r="B57" s="21"/>
      <c r="C57" s="201" t="s">
        <v>24</v>
      </c>
      <c r="D57" s="201"/>
      <c r="E57" s="98">
        <v>71</v>
      </c>
      <c r="F57" s="21"/>
      <c r="G57" s="21"/>
      <c r="H57" s="21"/>
      <c r="I57" s="22"/>
      <c r="J57" s="22"/>
      <c r="K57" s="22"/>
      <c r="L57" s="40">
        <v>231</v>
      </c>
      <c r="M57" s="29"/>
      <c r="N57" s="29"/>
      <c r="O57" s="29"/>
      <c r="P57" s="34"/>
    </row>
    <row r="58" spans="2:22" ht="15.75" customHeight="1" x14ac:dyDescent="0.2">
      <c r="B58" s="21"/>
      <c r="C58" s="109"/>
      <c r="D58" s="109"/>
      <c r="E58" s="110"/>
      <c r="F58" s="21"/>
      <c r="G58" s="21"/>
      <c r="H58" s="21"/>
      <c r="I58" s="22"/>
      <c r="J58" s="22"/>
      <c r="K58" s="22"/>
      <c r="L58" s="40"/>
      <c r="M58" s="29"/>
      <c r="N58" s="29"/>
      <c r="O58" s="29"/>
      <c r="P58" s="34"/>
    </row>
    <row r="59" spans="2:22" ht="15.75" customHeight="1" x14ac:dyDescent="0.2">
      <c r="B59" s="21"/>
      <c r="C59" s="109"/>
      <c r="D59" s="109"/>
      <c r="E59" s="110"/>
      <c r="F59" s="21"/>
      <c r="G59" s="21"/>
      <c r="H59" s="21"/>
      <c r="I59" s="22"/>
      <c r="J59" s="22"/>
      <c r="K59" s="22"/>
      <c r="L59" s="40"/>
      <c r="M59" s="29"/>
      <c r="N59" s="29"/>
      <c r="O59" s="29"/>
      <c r="P59" s="34"/>
    </row>
    <row r="60" spans="2:22" ht="15.75" customHeight="1" x14ac:dyDescent="0.2">
      <c r="B60" s="21"/>
      <c r="C60" s="109"/>
      <c r="D60" s="109"/>
      <c r="E60" s="110"/>
      <c r="F60" s="21"/>
      <c r="G60" s="21"/>
      <c r="H60" s="21"/>
      <c r="I60" s="22"/>
      <c r="J60" s="22"/>
      <c r="K60" s="22"/>
      <c r="L60" s="40"/>
      <c r="M60" s="29"/>
      <c r="N60" s="29"/>
      <c r="O60" s="29"/>
      <c r="P60" s="34"/>
    </row>
    <row r="61" spans="2:22" ht="69" customHeight="1" x14ac:dyDescent="0.2">
      <c r="B61" s="46" t="s">
        <v>29</v>
      </c>
      <c r="C61" s="47" t="s">
        <v>1</v>
      </c>
      <c r="D61" s="47" t="s">
        <v>2</v>
      </c>
      <c r="E61" s="46" t="s">
        <v>3</v>
      </c>
      <c r="F61" s="46" t="s">
        <v>4</v>
      </c>
      <c r="G61" s="46" t="s">
        <v>5</v>
      </c>
      <c r="H61" s="46" t="s">
        <v>6</v>
      </c>
      <c r="I61" s="48" t="s">
        <v>7</v>
      </c>
      <c r="J61" s="48" t="s">
        <v>8</v>
      </c>
      <c r="K61" s="48" t="s">
        <v>9</v>
      </c>
      <c r="L61" s="49" t="s">
        <v>10</v>
      </c>
      <c r="M61" s="50" t="s">
        <v>11</v>
      </c>
      <c r="N61" s="50" t="s">
        <v>12</v>
      </c>
      <c r="O61" s="50" t="s">
        <v>13</v>
      </c>
      <c r="P61" s="48" t="s">
        <v>14</v>
      </c>
    </row>
    <row r="62" spans="2:22" ht="15.75" customHeight="1" x14ac:dyDescent="0.2">
      <c r="B62" s="146"/>
      <c r="C62" s="146"/>
      <c r="D62" s="146"/>
      <c r="E62" s="147"/>
      <c r="F62" s="147"/>
      <c r="G62" s="147"/>
      <c r="H62" s="147"/>
      <c r="I62" s="148"/>
      <c r="J62" s="148"/>
      <c r="K62" s="148">
        <f t="shared" ref="K62:K77" si="4">$K$2*E62</f>
        <v>0</v>
      </c>
      <c r="L62" s="149">
        <f t="shared" si="1"/>
        <v>0</v>
      </c>
      <c r="M62" s="150"/>
      <c r="N62" s="82"/>
      <c r="O62" s="151"/>
      <c r="P62" s="152" t="str">
        <f t="shared" si="0"/>
        <v/>
      </c>
      <c r="R62" s="76" t="s">
        <v>15</v>
      </c>
      <c r="S62" s="76" t="s">
        <v>16</v>
      </c>
      <c r="T62" s="77" t="s">
        <v>17</v>
      </c>
      <c r="U62" s="77" t="s">
        <v>18</v>
      </c>
      <c r="V62" s="77" t="s">
        <v>19</v>
      </c>
    </row>
    <row r="63" spans="2:22" ht="15.75" customHeight="1" x14ac:dyDescent="0.2">
      <c r="B63" s="84"/>
      <c r="C63" s="85"/>
      <c r="D63" s="85"/>
      <c r="E63" s="79"/>
      <c r="F63" s="79"/>
      <c r="G63" s="79"/>
      <c r="H63" s="79"/>
      <c r="I63" s="80"/>
      <c r="J63" s="80"/>
      <c r="K63" s="80">
        <f t="shared" si="4"/>
        <v>0</v>
      </c>
      <c r="L63" s="80">
        <f t="shared" si="1"/>
        <v>0</v>
      </c>
      <c r="M63" s="140"/>
      <c r="N63" s="82"/>
      <c r="O63" s="82"/>
      <c r="P63" s="83" t="str">
        <f t="shared" si="0"/>
        <v/>
      </c>
      <c r="R63" s="7" t="s">
        <v>20</v>
      </c>
      <c r="S63" s="134"/>
      <c r="T63" s="137">
        <f>SUM(L63,L65,L66,L71,L72,L73,L74,L76,L75,L77,L78,L95,L97,L104,L107)</f>
        <v>0</v>
      </c>
      <c r="U63" s="138">
        <f>SUM(M63,M65,M66,M71,M72,M73,M74,M75,M76,M77,M78,M95,M97,M104,M107)</f>
        <v>0</v>
      </c>
      <c r="V63" s="136" t="e">
        <f>T63/U63</f>
        <v>#DIV/0!</v>
      </c>
    </row>
    <row r="64" spans="2:22" ht="15.75" customHeight="1" x14ac:dyDescent="0.2">
      <c r="B64" s="165"/>
      <c r="C64" s="165"/>
      <c r="D64" s="165"/>
      <c r="E64" s="166"/>
      <c r="F64" s="166"/>
      <c r="G64" s="166"/>
      <c r="H64" s="166"/>
      <c r="I64" s="167"/>
      <c r="J64" s="168"/>
      <c r="K64" s="168">
        <f t="shared" si="4"/>
        <v>0</v>
      </c>
      <c r="L64" s="169">
        <f t="shared" si="1"/>
        <v>0</v>
      </c>
      <c r="M64" s="170"/>
      <c r="N64" s="82"/>
      <c r="O64" s="171"/>
      <c r="P64" s="172" t="str">
        <f t="shared" si="0"/>
        <v/>
      </c>
      <c r="R64" s="7" t="s">
        <v>22</v>
      </c>
      <c r="S64" s="134"/>
      <c r="T64" s="137">
        <f>SUM(L64,L69,L70,L80:L94,L98:L103,L105)</f>
        <v>0</v>
      </c>
      <c r="U64" s="138">
        <f>SUM(M64,M69:M70,M80:M94,M98:M103,M105)</f>
        <v>0</v>
      </c>
      <c r="V64" s="136" t="e">
        <f>T64/U64</f>
        <v>#DIV/0!</v>
      </c>
    </row>
    <row r="65" spans="1:27" ht="15.75" customHeight="1" x14ac:dyDescent="0.2">
      <c r="B65" s="86"/>
      <c r="C65" s="86"/>
      <c r="D65" s="86"/>
      <c r="E65" s="79"/>
      <c r="F65" s="79"/>
      <c r="G65" s="79"/>
      <c r="H65" s="79"/>
      <c r="I65" s="12"/>
      <c r="J65" s="80"/>
      <c r="K65" s="80">
        <f t="shared" si="4"/>
        <v>0</v>
      </c>
      <c r="L65" s="80">
        <f t="shared" si="1"/>
        <v>0</v>
      </c>
      <c r="M65" s="140"/>
      <c r="N65" s="82"/>
      <c r="O65" s="82"/>
      <c r="P65" s="83" t="str">
        <f t="shared" si="0"/>
        <v/>
      </c>
      <c r="R65" s="7" t="s">
        <v>21</v>
      </c>
      <c r="S65" s="134"/>
      <c r="T65" s="137">
        <f>SUM(L62,L67:L68,L79, L96, L106)</f>
        <v>0</v>
      </c>
      <c r="U65" s="138">
        <f>SUM(M62,M67:M68,M79, M96, M106)</f>
        <v>0</v>
      </c>
      <c r="V65" s="136" t="e">
        <f>T65/U65</f>
        <v>#DIV/0!</v>
      </c>
    </row>
    <row r="66" spans="1:27" ht="15.75" customHeight="1" x14ac:dyDescent="0.2">
      <c r="B66" s="86"/>
      <c r="C66" s="86"/>
      <c r="D66" s="86"/>
      <c r="E66" s="79"/>
      <c r="F66" s="79"/>
      <c r="G66" s="79"/>
      <c r="H66" s="79"/>
      <c r="I66" s="12"/>
      <c r="J66" s="80"/>
      <c r="K66" s="80">
        <f t="shared" si="4"/>
        <v>0</v>
      </c>
      <c r="L66" s="80">
        <f t="shared" si="1"/>
        <v>0</v>
      </c>
      <c r="M66" s="140"/>
      <c r="N66" s="82"/>
      <c r="O66" s="82"/>
      <c r="P66" s="83" t="str">
        <f t="shared" si="0"/>
        <v/>
      </c>
      <c r="R66" s="7" t="s">
        <v>30</v>
      </c>
      <c r="S66" s="135"/>
      <c r="T66" s="137"/>
      <c r="U66" s="138"/>
      <c r="V66" s="136" t="e">
        <f>T66/U66</f>
        <v>#DIV/0!</v>
      </c>
    </row>
    <row r="67" spans="1:27" ht="15.75" customHeight="1" x14ac:dyDescent="0.2">
      <c r="B67" s="173"/>
      <c r="C67" s="173"/>
      <c r="D67" s="173"/>
      <c r="E67" s="174"/>
      <c r="F67" s="174"/>
      <c r="G67" s="174"/>
      <c r="H67" s="174"/>
      <c r="I67" s="18"/>
      <c r="J67" s="18"/>
      <c r="K67" s="175">
        <f t="shared" si="4"/>
        <v>0</v>
      </c>
      <c r="L67" s="176">
        <f t="shared" si="1"/>
        <v>0</v>
      </c>
      <c r="M67" s="177"/>
      <c r="N67" s="82"/>
      <c r="O67" s="178"/>
      <c r="P67" s="179" t="str">
        <f t="shared" si="0"/>
        <v/>
      </c>
      <c r="R67" s="7" t="s">
        <v>31</v>
      </c>
      <c r="S67" s="135"/>
      <c r="T67" s="137"/>
      <c r="U67" s="138"/>
      <c r="V67" s="139" t="e">
        <f>T67/U67</f>
        <v>#DIV/0!</v>
      </c>
    </row>
    <row r="68" spans="1:27" ht="15.75" customHeight="1" x14ac:dyDescent="0.2">
      <c r="B68" s="87"/>
      <c r="C68" s="87"/>
      <c r="D68" s="87"/>
      <c r="E68" s="79"/>
      <c r="F68" s="79"/>
      <c r="G68" s="79"/>
      <c r="H68" s="79"/>
      <c r="I68" s="10"/>
      <c r="J68" s="10"/>
      <c r="K68" s="80">
        <f t="shared" si="4"/>
        <v>0</v>
      </c>
      <c r="L68" s="81">
        <f t="shared" si="1"/>
        <v>0</v>
      </c>
      <c r="M68" s="140"/>
      <c r="N68" s="82"/>
      <c r="O68" s="82"/>
      <c r="P68" s="83" t="str">
        <f t="shared" si="0"/>
        <v/>
      </c>
    </row>
    <row r="69" spans="1:27" ht="15.75" customHeight="1" x14ac:dyDescent="0.2">
      <c r="B69" s="144"/>
      <c r="C69" s="86"/>
      <c r="D69" s="86"/>
      <c r="E69" s="79"/>
      <c r="F69" s="79"/>
      <c r="G69" s="79"/>
      <c r="H69" s="79"/>
      <c r="I69" s="10"/>
      <c r="J69" s="80"/>
      <c r="K69" s="80">
        <f t="shared" si="4"/>
        <v>0</v>
      </c>
      <c r="L69" s="81">
        <f t="shared" si="1"/>
        <v>0</v>
      </c>
      <c r="M69" s="140"/>
      <c r="N69" s="82"/>
      <c r="O69" s="82"/>
      <c r="P69" s="83" t="str">
        <f t="shared" si="0"/>
        <v/>
      </c>
    </row>
    <row r="70" spans="1:27" ht="15.75" customHeight="1" x14ac:dyDescent="0.2">
      <c r="B70" s="154"/>
      <c r="C70" s="153"/>
      <c r="D70" s="153"/>
      <c r="E70" s="147"/>
      <c r="F70" s="147"/>
      <c r="G70" s="147"/>
      <c r="H70" s="147"/>
      <c r="I70" s="11"/>
      <c r="J70" s="148"/>
      <c r="K70" s="148"/>
      <c r="L70" s="149">
        <f t="shared" si="1"/>
        <v>0</v>
      </c>
      <c r="M70" s="150"/>
      <c r="N70" s="82"/>
      <c r="O70" s="151"/>
      <c r="P70" s="152" t="str">
        <f t="shared" si="0"/>
        <v/>
      </c>
    </row>
    <row r="71" spans="1:27" ht="15.75" customHeight="1" x14ac:dyDescent="0.2">
      <c r="B71" s="86"/>
      <c r="C71" s="86"/>
      <c r="D71" s="86"/>
      <c r="E71" s="79"/>
      <c r="F71" s="79"/>
      <c r="G71" s="79"/>
      <c r="H71" s="79"/>
      <c r="I71" s="12"/>
      <c r="J71" s="80"/>
      <c r="K71" s="80">
        <f t="shared" si="4"/>
        <v>0</v>
      </c>
      <c r="L71" s="80">
        <f t="shared" si="1"/>
        <v>0</v>
      </c>
      <c r="M71" s="140"/>
      <c r="N71" s="82"/>
      <c r="O71" s="82"/>
      <c r="P71" s="83" t="str">
        <f t="shared" si="0"/>
        <v/>
      </c>
    </row>
    <row r="72" spans="1:27" ht="15.75" customHeight="1" x14ac:dyDescent="0.2">
      <c r="B72" s="86"/>
      <c r="C72" s="86"/>
      <c r="D72" s="86"/>
      <c r="E72" s="79"/>
      <c r="F72" s="79"/>
      <c r="G72" s="79"/>
      <c r="H72" s="79"/>
      <c r="I72" s="12"/>
      <c r="J72" s="80"/>
      <c r="K72" s="80">
        <f t="shared" si="4"/>
        <v>0</v>
      </c>
      <c r="L72" s="80">
        <f t="shared" si="1"/>
        <v>0</v>
      </c>
      <c r="M72" s="140"/>
      <c r="N72" s="82"/>
      <c r="O72" s="82"/>
      <c r="P72" s="83" t="str">
        <f t="shared" si="0"/>
        <v/>
      </c>
    </row>
    <row r="73" spans="1:27" ht="15.75" customHeight="1" x14ac:dyDescent="0.2">
      <c r="B73" s="86"/>
      <c r="C73" s="86"/>
      <c r="D73" s="86"/>
      <c r="E73" s="79"/>
      <c r="F73" s="79"/>
      <c r="G73" s="79"/>
      <c r="H73" s="79"/>
      <c r="I73" s="12"/>
      <c r="J73" s="80"/>
      <c r="K73" s="80">
        <f t="shared" si="4"/>
        <v>0</v>
      </c>
      <c r="L73" s="80">
        <f t="shared" si="1"/>
        <v>0</v>
      </c>
      <c r="M73" s="140"/>
      <c r="N73" s="82"/>
      <c r="O73" s="82"/>
      <c r="P73" s="83" t="str">
        <f t="shared" si="0"/>
        <v/>
      </c>
    </row>
    <row r="74" spans="1:27" ht="15.75" customHeight="1" x14ac:dyDescent="0.2">
      <c r="B74" s="86"/>
      <c r="C74" s="86"/>
      <c r="D74" s="88"/>
      <c r="E74" s="79"/>
      <c r="F74" s="79"/>
      <c r="G74" s="79"/>
      <c r="H74" s="79"/>
      <c r="I74" s="80"/>
      <c r="J74" s="80"/>
      <c r="K74" s="80">
        <f t="shared" si="4"/>
        <v>0</v>
      </c>
      <c r="L74" s="80">
        <f t="shared" si="1"/>
        <v>0</v>
      </c>
      <c r="M74" s="140"/>
      <c r="N74" s="82"/>
      <c r="O74" s="82"/>
      <c r="P74" s="83" t="str">
        <f t="shared" si="0"/>
        <v/>
      </c>
    </row>
    <row r="75" spans="1:27" ht="15.75" customHeight="1" x14ac:dyDescent="0.2">
      <c r="B75" s="86"/>
      <c r="C75" s="86"/>
      <c r="D75" s="88"/>
      <c r="E75" s="79"/>
      <c r="F75" s="79"/>
      <c r="G75" s="79"/>
      <c r="H75" s="79"/>
      <c r="I75" s="12"/>
      <c r="J75" s="80"/>
      <c r="K75" s="80">
        <f t="shared" si="4"/>
        <v>0</v>
      </c>
      <c r="L75" s="80">
        <f t="shared" si="1"/>
        <v>0</v>
      </c>
      <c r="M75" s="140"/>
      <c r="N75" s="82"/>
      <c r="O75" s="82"/>
      <c r="P75" s="83" t="str">
        <f t="shared" si="0"/>
        <v/>
      </c>
    </row>
    <row r="76" spans="1:27" ht="15.75" customHeight="1" x14ac:dyDescent="0.2">
      <c r="B76" s="86"/>
      <c r="C76" s="86"/>
      <c r="D76" s="88"/>
      <c r="E76" s="79"/>
      <c r="F76" s="79"/>
      <c r="G76" s="79"/>
      <c r="H76" s="79"/>
      <c r="I76" s="12"/>
      <c r="J76" s="80"/>
      <c r="K76" s="80">
        <f t="shared" si="4"/>
        <v>0</v>
      </c>
      <c r="L76" s="80">
        <f t="shared" si="1"/>
        <v>0</v>
      </c>
      <c r="M76" s="140"/>
      <c r="N76" s="82"/>
      <c r="O76" s="82"/>
      <c r="P76" s="83" t="str">
        <f t="shared" si="0"/>
        <v/>
      </c>
    </row>
    <row r="77" spans="1:27" ht="15.75" customHeight="1" x14ac:dyDescent="0.2">
      <c r="B77" s="86"/>
      <c r="C77" s="86"/>
      <c r="D77" s="88"/>
      <c r="E77" s="79"/>
      <c r="F77" s="79"/>
      <c r="G77" s="79"/>
      <c r="H77" s="79"/>
      <c r="I77" s="12"/>
      <c r="J77" s="80"/>
      <c r="K77" s="80">
        <f t="shared" si="4"/>
        <v>0</v>
      </c>
      <c r="L77" s="80">
        <f t="shared" si="1"/>
        <v>0</v>
      </c>
      <c r="M77" s="140"/>
      <c r="N77" s="82"/>
      <c r="O77" s="82"/>
      <c r="P77" s="83" t="str">
        <f t="shared" si="0"/>
        <v/>
      </c>
    </row>
    <row r="78" spans="1:27" ht="15.75" customHeight="1" x14ac:dyDescent="0.2">
      <c r="B78" s="79"/>
      <c r="C78" s="85"/>
      <c r="D78" s="85"/>
      <c r="E78" s="79"/>
      <c r="F78" s="79"/>
      <c r="G78" s="79"/>
      <c r="H78" s="79"/>
      <c r="I78" s="12"/>
      <c r="J78" s="80"/>
      <c r="K78" s="80">
        <f>$K$2*E78</f>
        <v>0</v>
      </c>
      <c r="L78" s="80">
        <f t="shared" si="1"/>
        <v>0</v>
      </c>
      <c r="M78" s="140"/>
      <c r="N78" s="82"/>
      <c r="O78" s="82"/>
      <c r="P78" s="83" t="str">
        <f t="shared" si="0"/>
        <v/>
      </c>
    </row>
    <row r="79" spans="1:27" ht="15.75" customHeight="1" x14ac:dyDescent="0.25">
      <c r="A79" s="2"/>
      <c r="B79" s="180"/>
      <c r="C79" s="181"/>
      <c r="D79" s="181"/>
      <c r="E79" s="182"/>
      <c r="F79" s="180"/>
      <c r="G79" s="174"/>
      <c r="H79" s="174"/>
      <c r="I79" s="18"/>
      <c r="J79" s="18"/>
      <c r="K79" s="175">
        <f t="shared" ref="K79:K107" si="5">$K$2*E79</f>
        <v>0</v>
      </c>
      <c r="L79" s="176">
        <f t="shared" si="1"/>
        <v>0</v>
      </c>
      <c r="M79" s="183"/>
      <c r="N79" s="82"/>
      <c r="O79" s="184"/>
      <c r="P79" s="179" t="str">
        <f t="shared" si="0"/>
        <v/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.75" customHeight="1" x14ac:dyDescent="0.25">
      <c r="A80" s="2"/>
      <c r="B80" s="145"/>
      <c r="C80" s="111"/>
      <c r="D80" s="111"/>
      <c r="E80" s="90"/>
      <c r="F80" s="89"/>
      <c r="G80" s="79"/>
      <c r="H80" s="79"/>
      <c r="I80" s="10"/>
      <c r="J80" s="80"/>
      <c r="K80" s="80">
        <f t="shared" si="5"/>
        <v>0</v>
      </c>
      <c r="L80" s="81">
        <f t="shared" si="1"/>
        <v>0</v>
      </c>
      <c r="M80" s="141"/>
      <c r="N80" s="82"/>
      <c r="O80" s="112"/>
      <c r="P80" s="83" t="str">
        <f t="shared" si="0"/>
        <v/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.75" customHeight="1" x14ac:dyDescent="0.25">
      <c r="A81" s="2"/>
      <c r="B81" s="145"/>
      <c r="C81" s="111"/>
      <c r="D81" s="111"/>
      <c r="E81" s="90"/>
      <c r="F81" s="89"/>
      <c r="G81" s="79"/>
      <c r="H81" s="79"/>
      <c r="I81" s="10"/>
      <c r="J81" s="80"/>
      <c r="K81" s="80"/>
      <c r="L81" s="81">
        <f t="shared" si="1"/>
        <v>0</v>
      </c>
      <c r="M81" s="141"/>
      <c r="N81" s="82"/>
      <c r="O81" s="112"/>
      <c r="P81" s="83" t="str">
        <f t="shared" si="0"/>
        <v/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.75" customHeight="1" x14ac:dyDescent="0.25">
      <c r="A82" s="2"/>
      <c r="B82" s="145"/>
      <c r="C82" s="111"/>
      <c r="D82" s="111"/>
      <c r="E82" s="90"/>
      <c r="F82" s="89"/>
      <c r="G82" s="79"/>
      <c r="H82" s="79"/>
      <c r="I82" s="10"/>
      <c r="J82" s="80"/>
      <c r="K82" s="80">
        <f t="shared" si="5"/>
        <v>0</v>
      </c>
      <c r="L82" s="81">
        <f t="shared" si="1"/>
        <v>0</v>
      </c>
      <c r="M82" s="141"/>
      <c r="N82" s="82"/>
      <c r="O82" s="112"/>
      <c r="P82" s="83" t="str">
        <f t="shared" si="0"/>
        <v/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.75" customHeight="1" x14ac:dyDescent="0.25">
      <c r="A83" s="2"/>
      <c r="B83" s="145"/>
      <c r="C83" s="111"/>
      <c r="D83" s="111"/>
      <c r="E83" s="90"/>
      <c r="F83" s="89"/>
      <c r="G83" s="79"/>
      <c r="H83" s="79"/>
      <c r="I83" s="10"/>
      <c r="J83" s="80"/>
      <c r="K83" s="80"/>
      <c r="L83" s="81">
        <f t="shared" si="1"/>
        <v>0</v>
      </c>
      <c r="M83" s="141"/>
      <c r="N83" s="82"/>
      <c r="O83" s="112"/>
      <c r="P83" s="83" t="str">
        <f t="shared" si="0"/>
        <v/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.75" customHeight="1" x14ac:dyDescent="0.25">
      <c r="A84" s="2"/>
      <c r="B84" s="89"/>
      <c r="C84" s="111"/>
      <c r="D84" s="111"/>
      <c r="E84" s="90"/>
      <c r="F84" s="89"/>
      <c r="G84" s="79"/>
      <c r="H84" s="79"/>
      <c r="I84" s="10"/>
      <c r="J84" s="80"/>
      <c r="K84" s="80"/>
      <c r="L84" s="81">
        <f t="shared" si="1"/>
        <v>0</v>
      </c>
      <c r="M84" s="141"/>
      <c r="N84" s="82"/>
      <c r="O84" s="112"/>
      <c r="P84" s="83" t="str">
        <f t="shared" si="0"/>
        <v/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.75" customHeight="1" x14ac:dyDescent="0.25">
      <c r="A85" s="2"/>
      <c r="B85" s="89"/>
      <c r="C85" s="111"/>
      <c r="D85" s="111"/>
      <c r="E85" s="90"/>
      <c r="F85" s="89"/>
      <c r="G85" s="79"/>
      <c r="H85" s="79"/>
      <c r="I85" s="10"/>
      <c r="J85" s="80"/>
      <c r="K85" s="80">
        <f t="shared" si="5"/>
        <v>0</v>
      </c>
      <c r="L85" s="81">
        <f t="shared" si="1"/>
        <v>0</v>
      </c>
      <c r="M85" s="141"/>
      <c r="N85" s="82"/>
      <c r="O85" s="112"/>
      <c r="P85" s="83" t="str">
        <f t="shared" si="0"/>
        <v/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.75" customHeight="1" x14ac:dyDescent="0.25">
      <c r="A86" s="2"/>
      <c r="B86" s="89"/>
      <c r="C86" s="111"/>
      <c r="D86" s="111"/>
      <c r="E86" s="90"/>
      <c r="F86" s="89"/>
      <c r="G86" s="79"/>
      <c r="H86" s="79"/>
      <c r="I86" s="10"/>
      <c r="J86" s="80"/>
      <c r="K86" s="80"/>
      <c r="L86" s="81">
        <f t="shared" si="1"/>
        <v>0</v>
      </c>
      <c r="M86" s="141"/>
      <c r="N86" s="82"/>
      <c r="O86" s="112"/>
      <c r="P86" s="83" t="str">
        <f t="shared" si="0"/>
        <v/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.75" customHeight="1" x14ac:dyDescent="0.25">
      <c r="A87" s="2"/>
      <c r="B87" s="89"/>
      <c r="C87" s="111"/>
      <c r="D87" s="111"/>
      <c r="E87" s="90"/>
      <c r="F87" s="89"/>
      <c r="G87" s="79"/>
      <c r="H87" s="79"/>
      <c r="I87" s="10"/>
      <c r="J87" s="80"/>
      <c r="K87" s="80">
        <f t="shared" si="5"/>
        <v>0</v>
      </c>
      <c r="L87" s="81">
        <f t="shared" si="1"/>
        <v>0</v>
      </c>
      <c r="M87" s="141"/>
      <c r="N87" s="82"/>
      <c r="O87" s="112"/>
      <c r="P87" s="83" t="str">
        <f t="shared" si="0"/>
        <v/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.75" customHeight="1" x14ac:dyDescent="0.25">
      <c r="A88" s="2"/>
      <c r="B88" s="89"/>
      <c r="C88" s="111"/>
      <c r="D88" s="111"/>
      <c r="E88" s="90"/>
      <c r="F88" s="89"/>
      <c r="G88" s="79"/>
      <c r="H88" s="79"/>
      <c r="I88" s="10"/>
      <c r="J88" s="80"/>
      <c r="K88" s="80"/>
      <c r="L88" s="81">
        <f t="shared" si="1"/>
        <v>0</v>
      </c>
      <c r="M88" s="141"/>
      <c r="N88" s="82"/>
      <c r="O88" s="112"/>
      <c r="P88" s="83" t="str">
        <f t="shared" si="0"/>
        <v/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.4" customHeight="1" x14ac:dyDescent="0.25">
      <c r="A89" s="2"/>
      <c r="B89" s="89"/>
      <c r="C89" s="111"/>
      <c r="D89" s="111"/>
      <c r="E89" s="90"/>
      <c r="F89" s="89"/>
      <c r="G89" s="79"/>
      <c r="H89" s="79"/>
      <c r="I89" s="10"/>
      <c r="J89" s="80"/>
      <c r="K89" s="80"/>
      <c r="L89" s="81">
        <f t="shared" si="1"/>
        <v>0</v>
      </c>
      <c r="M89" s="141"/>
      <c r="N89" s="82"/>
      <c r="O89" s="112"/>
      <c r="P89" s="83" t="str">
        <f t="shared" si="0"/>
        <v/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.75" customHeight="1" x14ac:dyDescent="0.25">
      <c r="A90" s="2"/>
      <c r="B90" s="89"/>
      <c r="C90" s="111"/>
      <c r="D90" s="111"/>
      <c r="E90" s="90"/>
      <c r="F90" s="89"/>
      <c r="G90" s="79"/>
      <c r="H90" s="79"/>
      <c r="I90" s="10"/>
      <c r="J90" s="80"/>
      <c r="K90" s="80">
        <f t="shared" si="5"/>
        <v>0</v>
      </c>
      <c r="L90" s="81">
        <f t="shared" si="1"/>
        <v>0</v>
      </c>
      <c r="M90" s="141"/>
      <c r="N90" s="82"/>
      <c r="O90" s="112"/>
      <c r="P90" s="83" t="str">
        <f t="shared" si="0"/>
        <v/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.75" customHeight="1" x14ac:dyDescent="0.25">
      <c r="A91" s="2"/>
      <c r="B91" s="89"/>
      <c r="C91" s="111"/>
      <c r="D91" s="111"/>
      <c r="E91" s="90"/>
      <c r="F91" s="89"/>
      <c r="G91" s="79"/>
      <c r="H91" s="79"/>
      <c r="I91" s="10"/>
      <c r="J91" s="80"/>
      <c r="K91" s="80"/>
      <c r="L91" s="81">
        <f t="shared" ref="L91:L107" si="6">I91+J91+K91</f>
        <v>0</v>
      </c>
      <c r="M91" s="141"/>
      <c r="N91" s="82"/>
      <c r="O91" s="112"/>
      <c r="P91" s="83" t="str">
        <f t="shared" ref="P91:P107" si="7">IFERROR(L91/M91,"")</f>
        <v/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s="2" customFormat="1" ht="15.75" customHeight="1" x14ac:dyDescent="0.25">
      <c r="B92" s="89"/>
      <c r="C92" s="111"/>
      <c r="D92" s="111"/>
      <c r="E92" s="90"/>
      <c r="F92" s="89"/>
      <c r="G92" s="79"/>
      <c r="H92" s="79"/>
      <c r="I92" s="10"/>
      <c r="J92" s="80"/>
      <c r="K92" s="80">
        <f t="shared" si="5"/>
        <v>0</v>
      </c>
      <c r="L92" s="81">
        <f t="shared" si="6"/>
        <v>0</v>
      </c>
      <c r="M92" s="141"/>
      <c r="N92" s="79"/>
      <c r="O92" s="112"/>
      <c r="P92" s="83" t="str">
        <f t="shared" si="7"/>
        <v/>
      </c>
    </row>
    <row r="93" spans="1:27" s="2" customFormat="1" ht="15.75" customHeight="1" x14ac:dyDescent="0.25">
      <c r="B93" s="89"/>
      <c r="C93" s="111"/>
      <c r="D93" s="111"/>
      <c r="E93" s="90"/>
      <c r="F93" s="89"/>
      <c r="G93" s="79"/>
      <c r="H93" s="79"/>
      <c r="I93" s="10"/>
      <c r="J93" s="80"/>
      <c r="K93" s="80"/>
      <c r="L93" s="81">
        <f t="shared" si="6"/>
        <v>0</v>
      </c>
      <c r="M93" s="141"/>
      <c r="N93" s="79"/>
      <c r="O93" s="112"/>
      <c r="P93" s="83" t="str">
        <f t="shared" si="7"/>
        <v/>
      </c>
    </row>
    <row r="94" spans="1:27" s="2" customFormat="1" ht="17.649999999999999" customHeight="1" x14ac:dyDescent="0.25">
      <c r="B94" s="155"/>
      <c r="C94" s="156"/>
      <c r="D94" s="156"/>
      <c r="E94" s="157"/>
      <c r="F94" s="155"/>
      <c r="G94" s="147"/>
      <c r="H94" s="147"/>
      <c r="I94" s="11"/>
      <c r="J94" s="148"/>
      <c r="K94" s="148">
        <f t="shared" si="5"/>
        <v>0</v>
      </c>
      <c r="L94" s="149">
        <f t="shared" si="6"/>
        <v>0</v>
      </c>
      <c r="M94" s="158"/>
      <c r="N94" s="79"/>
      <c r="O94" s="159"/>
      <c r="P94" s="152" t="str">
        <f t="shared" si="7"/>
        <v/>
      </c>
    </row>
    <row r="95" spans="1:27" s="2" customFormat="1" ht="15.75" customHeight="1" x14ac:dyDescent="0.25">
      <c r="B95" s="89"/>
      <c r="C95" s="193"/>
      <c r="D95" s="193"/>
      <c r="E95" s="90"/>
      <c r="F95" s="89"/>
      <c r="G95" s="79"/>
      <c r="H95" s="79"/>
      <c r="I95" s="80"/>
      <c r="J95" s="142"/>
      <c r="K95" s="80">
        <f t="shared" si="5"/>
        <v>0</v>
      </c>
      <c r="L95" s="80">
        <f t="shared" si="6"/>
        <v>0</v>
      </c>
      <c r="M95" s="194"/>
      <c r="N95" s="79"/>
      <c r="O95" s="195"/>
      <c r="P95" s="83" t="str">
        <f t="shared" si="7"/>
        <v/>
      </c>
    </row>
    <row r="96" spans="1:27" s="2" customFormat="1" ht="15.75" customHeight="1" x14ac:dyDescent="0.25">
      <c r="B96" s="185"/>
      <c r="C96" s="160"/>
      <c r="D96" s="160"/>
      <c r="E96" s="186"/>
      <c r="F96" s="185"/>
      <c r="G96" s="166"/>
      <c r="H96" s="166"/>
      <c r="I96" s="167"/>
      <c r="J96" s="167"/>
      <c r="K96" s="168">
        <f t="shared" si="5"/>
        <v>0</v>
      </c>
      <c r="L96" s="169">
        <f t="shared" si="6"/>
        <v>0</v>
      </c>
      <c r="M96" s="161"/>
      <c r="N96" s="79"/>
      <c r="O96" s="162"/>
      <c r="P96" s="172" t="str">
        <f t="shared" si="7"/>
        <v/>
      </c>
    </row>
    <row r="97" spans="2:16" ht="15" x14ac:dyDescent="0.25">
      <c r="B97" s="89"/>
      <c r="C97" s="193"/>
      <c r="D97" s="193"/>
      <c r="E97" s="90"/>
      <c r="F97" s="89"/>
      <c r="G97" s="79"/>
      <c r="H97" s="79"/>
      <c r="I97" s="12"/>
      <c r="J97" s="80"/>
      <c r="K97" s="80">
        <f t="shared" si="5"/>
        <v>0</v>
      </c>
      <c r="L97" s="80">
        <f t="shared" si="6"/>
        <v>0</v>
      </c>
      <c r="M97" s="196"/>
      <c r="N97" s="82"/>
      <c r="O97" s="195"/>
      <c r="P97" s="83" t="str">
        <f t="shared" si="7"/>
        <v/>
      </c>
    </row>
    <row r="98" spans="2:16" ht="15" x14ac:dyDescent="0.25">
      <c r="B98" s="180"/>
      <c r="C98" s="113"/>
      <c r="D98" s="113"/>
      <c r="E98" s="182"/>
      <c r="F98" s="180"/>
      <c r="G98" s="174"/>
      <c r="H98" s="174"/>
      <c r="I98" s="18"/>
      <c r="J98" s="175"/>
      <c r="K98" s="175">
        <f t="shared" si="5"/>
        <v>0</v>
      </c>
      <c r="L98" s="176">
        <f t="shared" si="6"/>
        <v>0</v>
      </c>
      <c r="M98" s="143"/>
      <c r="N98" s="82"/>
      <c r="O98" s="114"/>
      <c r="P98" s="179" t="str">
        <f t="shared" si="7"/>
        <v/>
      </c>
    </row>
    <row r="99" spans="2:16" ht="15" x14ac:dyDescent="0.25">
      <c r="B99" s="89"/>
      <c r="C99" s="113"/>
      <c r="D99" s="113"/>
      <c r="E99" s="90"/>
      <c r="F99" s="89"/>
      <c r="G99" s="79"/>
      <c r="H99" s="79"/>
      <c r="I99" s="10"/>
      <c r="J99" s="80"/>
      <c r="K99" s="80"/>
      <c r="L99" s="81">
        <f t="shared" si="6"/>
        <v>0</v>
      </c>
      <c r="M99" s="143"/>
      <c r="N99" s="82"/>
      <c r="O99" s="114"/>
      <c r="P99" s="83" t="str">
        <f t="shared" si="7"/>
        <v/>
      </c>
    </row>
    <row r="100" spans="2:16" ht="15" x14ac:dyDescent="0.25">
      <c r="B100" s="89"/>
      <c r="C100" s="113"/>
      <c r="D100" s="113"/>
      <c r="E100" s="90"/>
      <c r="F100" s="89"/>
      <c r="G100" s="79"/>
      <c r="H100" s="79"/>
      <c r="I100" s="10"/>
      <c r="J100" s="80"/>
      <c r="K100" s="80">
        <f t="shared" si="5"/>
        <v>0</v>
      </c>
      <c r="L100" s="81">
        <f t="shared" si="6"/>
        <v>0</v>
      </c>
      <c r="M100" s="143"/>
      <c r="N100" s="82"/>
      <c r="O100" s="114"/>
      <c r="P100" s="83" t="str">
        <f t="shared" si="7"/>
        <v/>
      </c>
    </row>
    <row r="101" spans="2:16" ht="15" x14ac:dyDescent="0.25">
      <c r="B101" s="89"/>
      <c r="C101" s="113"/>
      <c r="D101" s="113"/>
      <c r="E101" s="90"/>
      <c r="F101" s="89"/>
      <c r="G101" s="79"/>
      <c r="H101" s="79"/>
      <c r="I101" s="10"/>
      <c r="J101" s="80"/>
      <c r="K101" s="80"/>
      <c r="L101" s="81">
        <f t="shared" si="6"/>
        <v>0</v>
      </c>
      <c r="M101" s="143"/>
      <c r="N101" s="82"/>
      <c r="O101" s="114"/>
      <c r="P101" s="83" t="str">
        <f t="shared" si="7"/>
        <v/>
      </c>
    </row>
    <row r="102" spans="2:16" ht="15" x14ac:dyDescent="0.25">
      <c r="B102" s="89"/>
      <c r="C102" s="113"/>
      <c r="D102" s="113"/>
      <c r="E102" s="90"/>
      <c r="F102" s="89"/>
      <c r="G102" s="79"/>
      <c r="H102" s="79"/>
      <c r="I102" s="10"/>
      <c r="J102" s="80"/>
      <c r="K102" s="80">
        <f t="shared" si="5"/>
        <v>0</v>
      </c>
      <c r="L102" s="81">
        <f t="shared" si="6"/>
        <v>0</v>
      </c>
      <c r="M102" s="143"/>
      <c r="N102" s="82"/>
      <c r="O102" s="114"/>
      <c r="P102" s="83" t="str">
        <f t="shared" si="7"/>
        <v/>
      </c>
    </row>
    <row r="103" spans="2:16" ht="15" x14ac:dyDescent="0.25">
      <c r="B103" s="155"/>
      <c r="C103" s="160"/>
      <c r="D103" s="160"/>
      <c r="E103" s="157"/>
      <c r="F103" s="155"/>
      <c r="G103" s="147"/>
      <c r="H103" s="147"/>
      <c r="I103" s="11"/>
      <c r="J103" s="148"/>
      <c r="K103" s="148"/>
      <c r="L103" s="149">
        <f t="shared" si="6"/>
        <v>0</v>
      </c>
      <c r="M103" s="161"/>
      <c r="N103" s="82"/>
      <c r="O103" s="162"/>
      <c r="P103" s="152" t="str">
        <f t="shared" si="7"/>
        <v/>
      </c>
    </row>
    <row r="104" spans="2:16" ht="15" x14ac:dyDescent="0.25">
      <c r="B104" s="91"/>
      <c r="C104" s="197"/>
      <c r="D104" s="197"/>
      <c r="E104" s="90"/>
      <c r="F104" s="90"/>
      <c r="G104" s="79"/>
      <c r="H104" s="79"/>
      <c r="I104" s="12"/>
      <c r="J104" s="80"/>
      <c r="K104" s="80">
        <f t="shared" si="5"/>
        <v>0</v>
      </c>
      <c r="L104" s="80">
        <f t="shared" si="6"/>
        <v>0</v>
      </c>
      <c r="M104" s="198"/>
      <c r="N104" s="82"/>
      <c r="O104" s="198"/>
      <c r="P104" s="83" t="str">
        <f t="shared" si="7"/>
        <v/>
      </c>
    </row>
    <row r="105" spans="2:16" ht="15" x14ac:dyDescent="0.25">
      <c r="B105" s="180"/>
      <c r="C105" s="187"/>
      <c r="D105" s="187"/>
      <c r="E105" s="182"/>
      <c r="F105" s="182"/>
      <c r="G105" s="174"/>
      <c r="H105" s="174"/>
      <c r="I105" s="18"/>
      <c r="J105" s="175"/>
      <c r="K105" s="175">
        <f t="shared" si="5"/>
        <v>0</v>
      </c>
      <c r="L105" s="176">
        <f t="shared" si="6"/>
        <v>0</v>
      </c>
      <c r="M105" s="188"/>
      <c r="N105" s="82"/>
      <c r="O105" s="188"/>
      <c r="P105" s="179" t="str">
        <f t="shared" si="7"/>
        <v/>
      </c>
    </row>
    <row r="106" spans="2:16" ht="15" x14ac:dyDescent="0.25">
      <c r="B106" s="155"/>
      <c r="C106" s="163"/>
      <c r="D106" s="163"/>
      <c r="E106" s="157"/>
      <c r="F106" s="157"/>
      <c r="G106" s="147"/>
      <c r="H106" s="147"/>
      <c r="I106" s="11"/>
      <c r="J106" s="148"/>
      <c r="K106" s="148">
        <f t="shared" si="5"/>
        <v>0</v>
      </c>
      <c r="L106" s="149">
        <f t="shared" si="6"/>
        <v>0</v>
      </c>
      <c r="M106" s="164"/>
      <c r="N106" s="82"/>
      <c r="O106" s="164"/>
      <c r="P106" s="152" t="str">
        <f t="shared" si="7"/>
        <v/>
      </c>
    </row>
    <row r="107" spans="2:16" ht="15" x14ac:dyDescent="0.25">
      <c r="B107" s="89"/>
      <c r="C107" s="197"/>
      <c r="D107" s="197"/>
      <c r="E107" s="90"/>
      <c r="F107" s="90"/>
      <c r="G107" s="79"/>
      <c r="H107" s="79"/>
      <c r="I107" s="83"/>
      <c r="J107" s="83"/>
      <c r="K107" s="80">
        <f t="shared" si="5"/>
        <v>0</v>
      </c>
      <c r="L107" s="83">
        <f t="shared" si="6"/>
        <v>0</v>
      </c>
      <c r="M107" s="198"/>
      <c r="N107" s="82"/>
      <c r="O107" s="198"/>
      <c r="P107" s="83" t="str">
        <f t="shared" si="7"/>
        <v/>
      </c>
    </row>
    <row r="108" spans="2:16" ht="22.15" customHeight="1" x14ac:dyDescent="0.25">
      <c r="B108" s="116"/>
      <c r="C108" s="201" t="s">
        <v>23</v>
      </c>
      <c r="D108" s="201"/>
      <c r="E108" s="120">
        <f>SUM(E62:E107)</f>
        <v>0</v>
      </c>
      <c r="F108" s="92"/>
      <c r="G108" s="23"/>
      <c r="H108" s="23"/>
      <c r="I108" s="189">
        <f>SUM(I62:I107)</f>
        <v>0</v>
      </c>
      <c r="J108" s="189">
        <f>SUM(J62:J107)</f>
        <v>0</v>
      </c>
      <c r="K108" s="189">
        <f>E109*K2</f>
        <v>118080</v>
      </c>
      <c r="L108" s="189">
        <f>SUM(I108:K108)</f>
        <v>118080</v>
      </c>
      <c r="M108" s="190">
        <f>SUM(M62:M107)</f>
        <v>0</v>
      </c>
      <c r="N108" s="115">
        <f>SUM(N62:N107)</f>
        <v>0</v>
      </c>
      <c r="O108" s="191">
        <f>SUM(O62:O107)</f>
        <v>0</v>
      </c>
      <c r="P108" s="192" t="e">
        <f>L108/M108</f>
        <v>#DIV/0!</v>
      </c>
    </row>
    <row r="109" spans="2:16" ht="22.9" customHeight="1" x14ac:dyDescent="0.25">
      <c r="B109" s="116"/>
      <c r="C109" s="121" t="s">
        <v>24</v>
      </c>
      <c r="D109" s="121"/>
      <c r="E109" s="98">
        <v>80</v>
      </c>
      <c r="F109" s="116"/>
      <c r="G109" s="116"/>
      <c r="H109" s="116"/>
      <c r="I109" s="117"/>
      <c r="J109" s="117"/>
      <c r="K109" s="117"/>
      <c r="L109" s="118"/>
      <c r="M109" s="119"/>
      <c r="N109" s="119"/>
      <c r="O109" s="119"/>
      <c r="P109" s="117"/>
    </row>
    <row r="110" spans="2:16" ht="12.75" x14ac:dyDescent="0.2"/>
    <row r="111" spans="2:16" ht="12.75" x14ac:dyDescent="0.2"/>
    <row r="112" spans="2:16" ht="12.75" x14ac:dyDescent="0.2"/>
    <row r="113" spans="2:2" ht="12.75" x14ac:dyDescent="0.2"/>
    <row r="114" spans="2:2" ht="12.75" x14ac:dyDescent="0.2"/>
    <row r="115" spans="2:2" ht="12.75" x14ac:dyDescent="0.2"/>
    <row r="116" spans="2:2" ht="12.75" x14ac:dyDescent="0.2"/>
    <row r="117" spans="2:2" ht="12.75" x14ac:dyDescent="0.2">
      <c r="B117">
        <v>310</v>
      </c>
    </row>
    <row r="118" spans="2:2" ht="12.75" x14ac:dyDescent="0.2"/>
    <row r="119" spans="2:2" ht="12.75" x14ac:dyDescent="0.2"/>
    <row r="120" spans="2:2" ht="12.75" x14ac:dyDescent="0.2"/>
    <row r="121" spans="2:2" ht="12.75" x14ac:dyDescent="0.2"/>
    <row r="122" spans="2:2" ht="12.75" x14ac:dyDescent="0.2"/>
    <row r="123" spans="2:2" ht="12.75" x14ac:dyDescent="0.2"/>
    <row r="124" spans="2:2" ht="12.75" x14ac:dyDescent="0.2"/>
    <row r="125" spans="2:2" ht="12.75" x14ac:dyDescent="0.2"/>
    <row r="126" spans="2:2" ht="12.75" x14ac:dyDescent="0.2"/>
    <row r="127" spans="2:2" ht="12.75" x14ac:dyDescent="0.2"/>
    <row r="128" spans="2:2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  <row r="1001" ht="12.75" x14ac:dyDescent="0.2"/>
    <row r="1002" ht="12.75" x14ac:dyDescent="0.2"/>
    <row r="1003" ht="12.75" x14ac:dyDescent="0.2"/>
    <row r="1004" ht="12.75" x14ac:dyDescent="0.2"/>
    <row r="1005" ht="12.75" x14ac:dyDescent="0.2"/>
    <row r="1006" ht="12.75" x14ac:dyDescent="0.2"/>
    <row r="1007" ht="12.75" x14ac:dyDescent="0.2"/>
    <row r="1008" ht="12.75" x14ac:dyDescent="0.2"/>
    <row r="1009" ht="12.75" x14ac:dyDescent="0.2"/>
    <row r="1010" ht="12.75" x14ac:dyDescent="0.2"/>
    <row r="1011" ht="12.75" x14ac:dyDescent="0.2"/>
    <row r="1012" ht="12.75" x14ac:dyDescent="0.2"/>
    <row r="1013" ht="12.75" x14ac:dyDescent="0.2"/>
    <row r="1014" ht="12.75" x14ac:dyDescent="0.2"/>
    <row r="1015" ht="12.75" x14ac:dyDescent="0.2"/>
    <row r="1016" ht="12.75" x14ac:dyDescent="0.2"/>
    <row r="1017" ht="12.75" x14ac:dyDescent="0.2"/>
    <row r="1018" ht="12.75" x14ac:dyDescent="0.2"/>
    <row r="1019" ht="12.75" x14ac:dyDescent="0.2"/>
    <row r="1020" ht="12.75" x14ac:dyDescent="0.2"/>
    <row r="1021" ht="12.75" x14ac:dyDescent="0.2"/>
    <row r="1022" ht="12.75" x14ac:dyDescent="0.2"/>
    <row r="1023" ht="12.75" x14ac:dyDescent="0.2"/>
    <row r="1024" ht="12.75" x14ac:dyDescent="0.2"/>
    <row r="1025" ht="12.75" x14ac:dyDescent="0.2"/>
    <row r="1026" ht="12.75" x14ac:dyDescent="0.2"/>
    <row r="1027" ht="12.75" x14ac:dyDescent="0.2"/>
    <row r="1028" ht="12.75" x14ac:dyDescent="0.2"/>
    <row r="1029" ht="12.75" x14ac:dyDescent="0.2"/>
    <row r="1030" ht="12.75" x14ac:dyDescent="0.2"/>
    <row r="1031" ht="12.75" x14ac:dyDescent="0.2"/>
    <row r="1032" ht="12.75" x14ac:dyDescent="0.2"/>
    <row r="1033" ht="12.75" x14ac:dyDescent="0.2"/>
    <row r="1034" ht="12.75" x14ac:dyDescent="0.2"/>
    <row r="1035" ht="12.75" x14ac:dyDescent="0.2"/>
    <row r="1036" ht="12.75" x14ac:dyDescent="0.2"/>
    <row r="1037" ht="12.75" x14ac:dyDescent="0.2"/>
    <row r="1038" ht="12.75" x14ac:dyDescent="0.2"/>
    <row r="1039" ht="12.75" x14ac:dyDescent="0.2"/>
    <row r="1040" ht="12.75" x14ac:dyDescent="0.2"/>
    <row r="1041" ht="12.75" x14ac:dyDescent="0.2"/>
    <row r="1042" ht="12.75" x14ac:dyDescent="0.2"/>
    <row r="1043" ht="12.75" x14ac:dyDescent="0.2"/>
    <row r="1044" ht="12.75" x14ac:dyDescent="0.2"/>
    <row r="1045" ht="12.75" x14ac:dyDescent="0.2"/>
    <row r="1046" ht="12.75" x14ac:dyDescent="0.2"/>
    <row r="1047" ht="12.75" x14ac:dyDescent="0.2"/>
  </sheetData>
  <autoFilter ref="B61:P109" xr:uid="{00000000-0001-0000-0300-000000000000}"/>
  <mergeCells count="5">
    <mergeCell ref="C57:D57"/>
    <mergeCell ref="C56:D56"/>
    <mergeCell ref="C31:D31"/>
    <mergeCell ref="C30:D30"/>
    <mergeCell ref="C108:D108"/>
  </mergeCells>
  <conditionalFormatting sqref="C57:C60 E57:E60">
    <cfRule type="expression" dxfId="29" priority="125">
      <formula>#REF! = "Fabrication"</formula>
    </cfRule>
    <cfRule type="expression" dxfId="28" priority="126">
      <formula>#REF! = "Sponsorship"</formula>
    </cfRule>
    <cfRule type="expression" dxfId="27" priority="127">
      <formula>#REF! = "On Premise"</formula>
    </cfRule>
    <cfRule type="expression" dxfId="26" priority="128">
      <formula>#REF! = "off premise"</formula>
    </cfRule>
    <cfRule type="expression" dxfId="25" priority="142">
      <formula>#REF! = "tentative"</formula>
    </cfRule>
    <cfRule type="expression" dxfId="24" priority="143">
      <formula>#REF! = "TBD"</formula>
    </cfRule>
    <cfRule type="expression" dxfId="23" priority="144">
      <formula>#REF! ="Maintenance"</formula>
    </cfRule>
    <cfRule type="expression" dxfId="22" priority="145">
      <formula>#REF! ="parked"</formula>
    </cfRule>
    <cfRule type="expression" dxfId="21" priority="146">
      <formula>#REF! = "Transport"</formula>
    </cfRule>
    <cfRule type="expression" dxfId="20" priority="158">
      <formula>#REF! = "Day off"</formula>
    </cfRule>
  </conditionalFormatting>
  <conditionalFormatting sqref="E4:E29 B5:D29 F5:F29 M5:O29 M35:O53 B35:F55 B56:C56 E56:F56 B57:F60">
    <cfRule type="expression" dxfId="19" priority="61">
      <formula>$I4 = "Fabrication"</formula>
    </cfRule>
    <cfRule type="expression" dxfId="18" priority="62">
      <formula>$I4 = "Sponsorship"</formula>
    </cfRule>
    <cfRule type="expression" dxfId="17" priority="63">
      <formula>$I4 = "tentative"</formula>
    </cfRule>
    <cfRule type="expression" dxfId="16" priority="64">
      <formula>$I4 = "TBD"</formula>
    </cfRule>
    <cfRule type="expression" dxfId="15" priority="65">
      <formula>$I4 ="Maintenance"</formula>
    </cfRule>
    <cfRule type="expression" dxfId="14" priority="66">
      <formula>$I4 ="parked"</formula>
    </cfRule>
    <cfRule type="expression" dxfId="13" priority="67">
      <formula>$I4 = "Transport"</formula>
    </cfRule>
    <cfRule type="expression" dxfId="12" priority="68">
      <formula>$I4 = "On Premise"</formula>
    </cfRule>
    <cfRule type="expression" dxfId="11" priority="69">
      <formula>$I4 = "off premise"</formula>
    </cfRule>
    <cfRule type="expression" dxfId="10" priority="70">
      <formula>$I4 = "Day off"</formula>
    </cfRule>
  </conditionalFormatting>
  <conditionalFormatting sqref="E30:E33 M30:O33 B62:B63">
    <cfRule type="expression" dxfId="9" priority="111">
      <formula>#REF! = "Fabrication"</formula>
    </cfRule>
    <cfRule type="expression" dxfId="8" priority="112">
      <formula>#REF! = "Sponsorship"</formula>
    </cfRule>
    <cfRule type="expression" dxfId="7" priority="113">
      <formula>#REF! = "On Premise"</formula>
    </cfRule>
    <cfRule type="expression" dxfId="6" priority="114">
      <formula>#REF! = "off premise"</formula>
    </cfRule>
    <cfRule type="expression" dxfId="5" priority="115">
      <formula>#REF! = "tentative"</formula>
    </cfRule>
    <cfRule type="expression" dxfId="4" priority="116">
      <formula>#REF! = "TBD"</formula>
    </cfRule>
    <cfRule type="expression" dxfId="3" priority="117">
      <formula>#REF! ="Maintenance"</formula>
    </cfRule>
    <cfRule type="expression" dxfId="2" priority="118">
      <formula>#REF! ="parked"</formula>
    </cfRule>
    <cfRule type="expression" dxfId="1" priority="119">
      <formula>#REF! = "Transport"</formula>
    </cfRule>
    <cfRule type="expression" dxfId="0" priority="120">
      <formula>#REF! = "Day off"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43D5A-CCFB-4A38-BB67-DD9975B6AFEC}">
  <dimension ref="C4:K11"/>
  <sheetViews>
    <sheetView workbookViewId="0">
      <selection activeCell="K5" sqref="K5"/>
    </sheetView>
  </sheetViews>
  <sheetFormatPr defaultRowHeight="12.75" x14ac:dyDescent="0.2"/>
  <cols>
    <col min="2" max="2" width="12.7109375" customWidth="1"/>
    <col min="3" max="3" width="10.28515625" customWidth="1"/>
    <col min="4" max="4" width="12.5703125" customWidth="1"/>
    <col min="5" max="5" width="14.140625" customWidth="1"/>
    <col min="6" max="6" width="11.28515625" customWidth="1"/>
    <col min="7" max="7" width="10.7109375" customWidth="1"/>
    <col min="8" max="8" width="9.7109375" customWidth="1"/>
    <col min="9" max="9" width="11.28515625" customWidth="1"/>
    <col min="10" max="10" width="11.85546875" customWidth="1"/>
    <col min="11" max="11" width="11.28515625" customWidth="1"/>
  </cols>
  <sheetData>
    <row r="4" spans="3:11" ht="24" x14ac:dyDescent="0.2">
      <c r="C4" s="123" t="s">
        <v>32</v>
      </c>
      <c r="D4" s="123" t="s">
        <v>33</v>
      </c>
      <c r="E4" s="122" t="s">
        <v>34</v>
      </c>
      <c r="F4" s="122" t="s">
        <v>35</v>
      </c>
      <c r="G4" s="124" t="s">
        <v>36</v>
      </c>
      <c r="H4" s="124" t="s">
        <v>17</v>
      </c>
      <c r="I4" s="124" t="s">
        <v>37</v>
      </c>
      <c r="J4" s="126" t="s">
        <v>19</v>
      </c>
      <c r="K4" s="127" t="s">
        <v>38</v>
      </c>
    </row>
    <row r="5" spans="3:11" x14ac:dyDescent="0.2">
      <c r="C5" s="128">
        <v>210</v>
      </c>
      <c r="D5" s="128">
        <v>108</v>
      </c>
      <c r="E5" s="129">
        <v>310000</v>
      </c>
      <c r="F5" s="129">
        <v>210300</v>
      </c>
      <c r="G5" s="129">
        <v>73467</v>
      </c>
      <c r="H5" s="130">
        <f>SUM(E5:G5)</f>
        <v>593767</v>
      </c>
      <c r="I5" s="131">
        <v>24857</v>
      </c>
      <c r="J5" s="132">
        <f>H5/I5</f>
        <v>23.887315444341635</v>
      </c>
      <c r="K5" s="133"/>
    </row>
    <row r="11" spans="3:11" x14ac:dyDescent="0.2">
      <c r="C11" s="12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c6029682399a2723c603dceec7b1d942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7d672569b73afc4b98897befdaa0313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1b4607-f500-4f6e-b784-fb54d22359e9">
      <Terms xmlns="http://schemas.microsoft.com/office/infopath/2007/PartnerControls"/>
    </lcf76f155ced4ddcb4097134ff3c332f>
    <TaxCatchAll xmlns="05212364-6e0c-40a5-9fff-da248140089a" xsi:nil="true"/>
    <SharedWithUsers xmlns="05212364-6e0c-40a5-9fff-da248140089a">
      <UserInfo>
        <DisplayName>Baum, Kristen (STL-MOM)</DisplayName>
        <AccountId>346</AccountId>
        <AccountType/>
      </UserInfo>
      <UserInfo>
        <DisplayName>Bustos, Luis (WW-MOM)</DisplayName>
        <AccountId>347</AccountId>
        <AccountType/>
      </UserInfo>
    </SharedWithUsers>
    <Notes xmlns="801b4607-f500-4f6e-b784-fb54d22359e9" xsi:nil="true"/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Props1.xml><?xml version="1.0" encoding="utf-8"?>
<ds:datastoreItem xmlns:ds="http://schemas.openxmlformats.org/officeDocument/2006/customXml" ds:itemID="{A2D3E480-B789-4DC8-8A50-726F5F7C8725}"/>
</file>

<file path=customXml/itemProps2.xml><?xml version="1.0" encoding="utf-8"?>
<ds:datastoreItem xmlns:ds="http://schemas.openxmlformats.org/officeDocument/2006/customXml" ds:itemID="{EA5DB9DD-D3B2-4C20-9BF0-97026A705B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709D21-A67E-430B-84ED-8245E1DBEC48}">
  <ds:schemaRefs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6ae3eeab-99b0-4dd3-b225-b9bb04b39ae7"/>
    <ds:schemaRef ds:uri="http://schemas.microsoft.com/office/2006/metadata/properties"/>
    <ds:schemaRef ds:uri="http://schemas.microsoft.com/office/infopath/2007/PartnerControls"/>
    <ds:schemaRef ds:uri="c48949fb-fa01-406b-a7cb-c8e2535bd163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d026e4c1-5892-497a-b9da-ee493c9f0364}" enabled="0" method="" siteId="{d026e4c1-5892-497a-b9da-ee493c9f036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 Breakouts</vt:lpstr>
      <vt:lpstr>Consolidated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Emily McMahon</dc:creator>
  <cp:keywords/>
  <dc:description/>
  <cp:lastModifiedBy>Bustos, Luis (WW-MOM)</cp:lastModifiedBy>
  <cp:revision/>
  <dcterms:created xsi:type="dcterms:W3CDTF">2023-04-13T16:07:56Z</dcterms:created>
  <dcterms:modified xsi:type="dcterms:W3CDTF">2024-03-05T10:27:24Z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