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interpublic.sharepoint.com/sites/MomoTechnology/Shared Documents/Operational Technology/Unified Data - UXP/Internal Docs/Interviews - Notes/Constellation/Files/"/>
    </mc:Choice>
  </mc:AlternateContent>
  <xr:revisionPtr revIDLastSave="0" documentId="11_EFD03C102BF01045728D2C21DF4E7CD0220BB1BB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Overview" sheetId="1" r:id="rId1"/>
    <sheet name="Account List" sheetId="2" r:id="rId2"/>
    <sheet name="Emily Schedule" sheetId="3" r:id="rId3"/>
    <sheet name="Kaitlyn Schedule" sheetId="4" r:id="rId4"/>
    <sheet name="FULL SCHEDULE_BY PS" sheetId="5" r:id="rId5"/>
    <sheet name="Schedule" sheetId="6" r:id="rId6"/>
    <sheet name="Schedule_ALL" sheetId="7" state="hidden" r:id="rId7"/>
  </sheets>
  <definedNames>
    <definedName name="_xlnm._FilterDatabase" localSheetId="2" hidden="1">'Emily Schedule'!$B$6:$R$33</definedName>
    <definedName name="_xlnm._FilterDatabase" localSheetId="4" hidden="1">'FULL SCHEDULE_BY PS'!$A$51:$I$57</definedName>
    <definedName name="_xlnm._FilterDatabase" localSheetId="3" hidden="1">'Kaitlyn Schedule'!$B$6:$R$34</definedName>
    <definedName name="_xlnm._FilterDatabase" localSheetId="5" hidden="1">Schedule!$B$5:$J$285</definedName>
    <definedName name="_xlnm._FilterDatabase" localSheetId="6" hidden="1">Schedule_ALL!$A$1:$K$63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2" i="6" l="1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B31" i="2"/>
  <c r="E27" i="2"/>
  <c r="D27" i="2"/>
  <c r="C27" i="2"/>
  <c r="M8" i="1"/>
  <c r="L8" i="1"/>
  <c r="K8" i="1"/>
  <c r="J8" i="1"/>
  <c r="I8" i="1"/>
  <c r="F8" i="1"/>
  <c r="E8" i="1"/>
  <c r="D8" i="1"/>
  <c r="M7" i="1"/>
  <c r="F7" i="1"/>
  <c r="E7" i="1"/>
  <c r="D7" i="1"/>
  <c r="C7" i="1"/>
  <c r="M6" i="1"/>
  <c r="F6" i="1"/>
</calcChain>
</file>

<file path=xl/sharedStrings.xml><?xml version="1.0" encoding="utf-8"?>
<sst xmlns="http://schemas.openxmlformats.org/spreadsheetml/2006/main" count="1629" uniqueCount="424">
  <si>
    <t xml:space="preserve">                      CHICAGO - CORONA PREMIER MARCH HOOPS - ACCOUNT TRACKER</t>
  </si>
  <si>
    <t>MBN SNAPSHOT</t>
  </si>
  <si>
    <t>LEAD BA SNAPSHOT</t>
  </si>
  <si>
    <t>CBI REP</t>
  </si>
  <si>
    <t>MBNs</t>
  </si>
  <si>
    <t>Scheduled</t>
  </si>
  <si>
    <t>Completed</t>
  </si>
  <si>
    <t xml:space="preserve">Remaining </t>
  </si>
  <si>
    <t>BA</t>
  </si>
  <si>
    <t># of MBNs</t>
  </si>
  <si>
    <t>% Complete</t>
  </si>
  <si>
    <t xml:space="preserve">JENNA </t>
  </si>
  <si>
    <t>EMILY</t>
  </si>
  <si>
    <t>TOTAL</t>
  </si>
  <si>
    <t>KAITLYN</t>
  </si>
  <si>
    <t>Percentage:</t>
  </si>
  <si>
    <t>TOTALS</t>
  </si>
  <si>
    <t>Momentum Worldwide. 2023.</t>
  </si>
  <si>
    <t>BA TEAM</t>
  </si>
  <si>
    <r>
      <rPr>
        <b/>
        <sz val="14"/>
        <color rgb="FFFFFFFF"/>
        <rFont val="Poppins"/>
      </rPr>
      <t>CBU BUSINESS UNIT</t>
    </r>
    <r>
      <rPr>
        <b/>
        <sz val="14"/>
        <color rgb="FFFFFFFF"/>
        <rFont val="Poppins"/>
      </rPr>
      <t xml:space="preserve"> LOCAL TEAM</t>
    </r>
  </si>
  <si>
    <t>POSITION / AREA</t>
  </si>
  <si>
    <t>NAME</t>
  </si>
  <si>
    <t>EMAIL</t>
  </si>
  <si>
    <t>PHONE</t>
  </si>
  <si>
    <t>NOTES</t>
  </si>
  <si>
    <t>DISTRIBUTOR</t>
  </si>
  <si>
    <t># OF MBNs</t>
  </si>
  <si>
    <t># OF ACCOUNTS</t>
  </si>
  <si>
    <t>Marketing Brand Specialist</t>
  </si>
  <si>
    <t>Kaitlyn Kieronski</t>
  </si>
  <si>
    <t>kak583@nyu.edu</t>
  </si>
  <si>
    <t>(630) 414-2250</t>
  </si>
  <si>
    <t>JENNA BORZA
jenna.borza@cbrands.com</t>
  </si>
  <si>
    <t>470-449-5953</t>
  </si>
  <si>
    <t>CBS</t>
  </si>
  <si>
    <t>Emily Divinagracia</t>
  </si>
  <si>
    <t>ejd714@hotmail.com</t>
  </si>
  <si>
    <t>(630) 456-3646</t>
  </si>
  <si>
    <t>Production Specialist</t>
  </si>
  <si>
    <t>Marcelo Zuim</t>
  </si>
  <si>
    <t>marcelolebre@icloud.com</t>
  </si>
  <si>
    <t>(206) 698-8526</t>
  </si>
  <si>
    <t>Lovish Thakur</t>
  </si>
  <si>
    <t>lovishthakur008@gmail.com</t>
  </si>
  <si>
    <t>(773) 439-0322</t>
  </si>
  <si>
    <t>Jerad Gumm</t>
  </si>
  <si>
    <t>jeradgumm@gmail.com</t>
  </si>
  <si>
    <t>(217) 617-5526</t>
  </si>
  <si>
    <t xml:space="preserve">                    CHICAGO - CORONA PREMIER MARCH HOOPS - On-Premise Account Tracker</t>
  </si>
  <si>
    <t>MBNs
Scheduled</t>
  </si>
  <si>
    <t>MBNs 
Completed</t>
  </si>
  <si>
    <t>MBNs
Remaining</t>
  </si>
  <si>
    <t>TDLinx 9-Digit Code</t>
  </si>
  <si>
    <t>Distributor</t>
  </si>
  <si>
    <t>LEAD BMS</t>
  </si>
  <si>
    <t>Account Name</t>
  </si>
  <si>
    <t>Address</t>
  </si>
  <si>
    <t>City</t>
  </si>
  <si>
    <t>State</t>
  </si>
  <si>
    <t>Zip</t>
  </si>
  <si>
    <t>Account Contact</t>
  </si>
  <si>
    <t>Phone</t>
  </si>
  <si>
    <t>Email (DIGITAL ASSETS)</t>
  </si>
  <si>
    <t>Notes</t>
  </si>
  <si>
    <t>CP HOOPS_ACCOUNT LIST_MAP</t>
  </si>
  <si>
    <t>JENNA BORZA</t>
  </si>
  <si>
    <t>Old Plank</t>
  </si>
  <si>
    <t>2700 N Milwaukee Ave</t>
  </si>
  <si>
    <t>Chicago</t>
  </si>
  <si>
    <t>IL</t>
  </si>
  <si>
    <t>Chad</t>
  </si>
  <si>
    <t>773-750-6785</t>
  </si>
  <si>
    <t>fchadj@gmail.com</t>
  </si>
  <si>
    <t>Prefers March 22nd</t>
  </si>
  <si>
    <t>Mullens</t>
  </si>
  <si>
    <t>7301 N Western Ave</t>
  </si>
  <si>
    <t>Carrie</t>
  </si>
  <si>
    <t>312-468-5155</t>
  </si>
  <si>
    <t>Hopsmith</t>
  </si>
  <si>
    <t>15 W Division St.</t>
  </si>
  <si>
    <t>Blanca</t>
  </si>
  <si>
    <t>312-714-6341</t>
  </si>
  <si>
    <t>Over/Under</t>
  </si>
  <si>
    <t>2723 N Halsted St</t>
  </si>
  <si>
    <t>Del</t>
  </si>
  <si>
    <t>872-338-7307</t>
  </si>
  <si>
    <t>Prefers March 30th or 31st</t>
  </si>
  <si>
    <t>Fireplace</t>
  </si>
  <si>
    <t>1448 N Wells St</t>
  </si>
  <si>
    <t>Aspen</t>
  </si>
  <si>
    <t>219-798-0886</t>
  </si>
  <si>
    <t>Chasers Schiller</t>
  </si>
  <si>
    <t>4255 Old River Rd</t>
  </si>
  <si>
    <t>Schiller Park</t>
  </si>
  <si>
    <t>Chris</t>
  </si>
  <si>
    <t>708-927-8232</t>
  </si>
  <si>
    <t>chris@chasersbar.com</t>
  </si>
  <si>
    <t>Broken Barrel</t>
  </si>
  <si>
    <t>2548 N Southport Ave, Chicago, IL 60614</t>
  </si>
  <si>
    <t>Memo</t>
  </si>
  <si>
    <t>773-971-8753</t>
  </si>
  <si>
    <t>memo@brokenbarrel.com</t>
  </si>
  <si>
    <t>Leader Bar</t>
  </si>
  <si>
    <t>3000 W Irving Park Rd</t>
  </si>
  <si>
    <t>Paul</t>
  </si>
  <si>
    <t>773-316-3843</t>
  </si>
  <si>
    <t>Howard Street Inn</t>
  </si>
  <si>
    <t>6700 W Howard St</t>
  </si>
  <si>
    <t>Niles</t>
  </si>
  <si>
    <t>Becky</t>
  </si>
  <si>
    <t>773-354-2324</t>
  </si>
  <si>
    <t>Clover</t>
  </si>
  <si>
    <t>722 W Grand Ave</t>
  </si>
  <si>
    <t>Jess Starr</t>
  </si>
  <si>
    <t>517-281-2780</t>
  </si>
  <si>
    <t>Corcorcans</t>
  </si>
  <si>
    <t>1615 N Wells St</t>
  </si>
  <si>
    <t>Anna</t>
  </si>
  <si>
    <t>815-274-2349</t>
  </si>
  <si>
    <t>events@vaughanhospitality.com</t>
  </si>
  <si>
    <t>Emily</t>
  </si>
  <si>
    <t>Output Lounge</t>
  </si>
  <si>
    <t>1758 W Grand Ave</t>
  </si>
  <si>
    <t>Eddie</t>
  </si>
  <si>
    <t>312-404-6780</t>
  </si>
  <si>
    <t>outputlounge2@gmail.com</t>
  </si>
  <si>
    <t>Beacon Tap</t>
  </si>
  <si>
    <t>1374 Lee St</t>
  </si>
  <si>
    <t>Des Plaines</t>
  </si>
  <si>
    <t>Tommy</t>
  </si>
  <si>
    <t>847-722-5825</t>
  </si>
  <si>
    <t>tommybeacontap@gmail.com</t>
  </si>
  <si>
    <t>Kaitlyn</t>
  </si>
  <si>
    <t>Codys</t>
  </si>
  <si>
    <t>1658 W Barry Ave</t>
  </si>
  <si>
    <t>Sam</t>
  </si>
  <si>
    <t>217-390-5725</t>
  </si>
  <si>
    <t>sam@codyschicago.com</t>
  </si>
  <si>
    <t>Prefers March 21st</t>
  </si>
  <si>
    <t>Buffalo Wings &amp; Rings</t>
  </si>
  <si>
    <t>3434 S Halsted St</t>
  </si>
  <si>
    <t>Justin</t>
  </si>
  <si>
    <t>312-656-9696</t>
  </si>
  <si>
    <t>justin@brwbridgeport.com</t>
  </si>
  <si>
    <t>Lotties</t>
  </si>
  <si>
    <t>1925 W Cortland St</t>
  </si>
  <si>
    <t>Matt</t>
  </si>
  <si>
    <t>773-251-6873</t>
  </si>
  <si>
    <t>matt@pioneertaverngroup.com</t>
  </si>
  <si>
    <t>Mother Hubbards</t>
  </si>
  <si>
    <t>5 W Hubbard St</t>
  </si>
  <si>
    <t>Jake</t>
  </si>
  <si>
    <t>312-208-9287</t>
  </si>
  <si>
    <t>Reggies</t>
  </si>
  <si>
    <t>2105 S State St</t>
  </si>
  <si>
    <t>Robbie</t>
  </si>
  <si>
    <t>847-456-4267</t>
  </si>
  <si>
    <t>Barstool Sports</t>
  </si>
  <si>
    <t>14 W Hubbard St</t>
  </si>
  <si>
    <t>404-632-2055</t>
  </si>
  <si>
    <t>Prefers March 24th, 3-5 pm</t>
  </si>
  <si>
    <t>Weather Mark</t>
  </si>
  <si>
    <t>1503 S Michigan Ave</t>
  </si>
  <si>
    <t>Mark</t>
  </si>
  <si>
    <t>773-844-1566</t>
  </si>
  <si>
    <t>mstern@weathermarktaver.com, jillian@weathermarktavern.com</t>
  </si>
  <si>
    <t>PBJ</t>
  </si>
  <si>
    <t>205 N Peoria St</t>
  </si>
  <si>
    <t>Rick</t>
  </si>
  <si>
    <t>630-334-3574</t>
  </si>
  <si>
    <t>nelly@pbjwestloop.com</t>
  </si>
  <si>
    <t>Tree House</t>
  </si>
  <si>
    <t>149 W Kinzie St</t>
  </si>
  <si>
    <t>Nick</t>
  </si>
  <si>
    <t>312-874-0370</t>
  </si>
  <si>
    <t>PHD Pub</t>
  </si>
  <si>
    <t>1257 S Halsted St</t>
  </si>
  <si>
    <t>Mike</t>
  </si>
  <si>
    <t>773-895-2360</t>
  </si>
  <si>
    <t>Graystone</t>
  </si>
  <si>
    <t>3441 N Sheffield Ave</t>
  </si>
  <si>
    <t>Rambler</t>
  </si>
  <si>
    <t>4128 N Lincoln Ave</t>
  </si>
  <si>
    <t>Prefers March 23rd</t>
  </si>
  <si>
    <t xml:space="preserve"> </t>
  </si>
  <si>
    <t xml:space="preserve">                    CHICAGO - CORONA PREMIER MARCH HOOPS</t>
  </si>
  <si>
    <t>Lead BA</t>
  </si>
  <si>
    <t>Key</t>
  </si>
  <si>
    <t>Pending</t>
  </si>
  <si>
    <t>Rescheduled</t>
  </si>
  <si>
    <t>Canceled</t>
  </si>
  <si>
    <t>Production Specialist Availability</t>
  </si>
  <si>
    <t>MBN Status</t>
  </si>
  <si>
    <t>Product 
Confirmed 
(1 week)</t>
  </si>
  <si>
    <t>Product 
Confirmed 
(48 hours)</t>
  </si>
  <si>
    <t>BRAND MARKETING SPECIALIST</t>
  </si>
  <si>
    <t>PRODUCTION SPECIALIST</t>
  </si>
  <si>
    <t>Date</t>
  </si>
  <si>
    <t>Day</t>
  </si>
  <si>
    <t>Start Time</t>
  </si>
  <si>
    <t>End Time</t>
  </si>
  <si>
    <t>Venue Contact Name</t>
  </si>
  <si>
    <t>Venue Contact Phone #</t>
  </si>
  <si>
    <t>Account Contact Email 
(Digital Assets)</t>
  </si>
  <si>
    <t>Lovish, Jerad</t>
  </si>
  <si>
    <t>Lovish</t>
  </si>
  <si>
    <t>Thursday</t>
  </si>
  <si>
    <t>Arrive 6PM to set up 
confirmed with account by Jenna - Happy hour</t>
  </si>
  <si>
    <t>Friday</t>
  </si>
  <si>
    <t xml:space="preserve">Jerad </t>
  </si>
  <si>
    <t>Jerad</t>
  </si>
  <si>
    <t xml:space="preserve">Chicago </t>
  </si>
  <si>
    <t>Saturday</t>
  </si>
  <si>
    <t>2548 N Southport Ave</t>
  </si>
  <si>
    <t>Memo/Cesar</t>
  </si>
  <si>
    <t>Jess</t>
  </si>
  <si>
    <t>Sunday</t>
  </si>
  <si>
    <t>Jerad , Marcelo</t>
  </si>
  <si>
    <t>changed time from 3-5 to 6-8 to coincide with game schedule</t>
  </si>
  <si>
    <t>Men's game</t>
  </si>
  <si>
    <t>Marcelo</t>
  </si>
  <si>
    <t>Wednesday</t>
  </si>
  <si>
    <t>Corcorans</t>
  </si>
  <si>
    <t>confirmed with account by Jenna</t>
  </si>
  <si>
    <t>rescheduled because account was dead</t>
  </si>
  <si>
    <t>Jerad, Marcelo</t>
  </si>
  <si>
    <t>Confirmed</t>
  </si>
  <si>
    <t>Monday</t>
  </si>
  <si>
    <t>Rescheduled / CXL</t>
  </si>
  <si>
    <t>BMS</t>
  </si>
  <si>
    <t>PS</t>
  </si>
  <si>
    <t>Start TIme</t>
  </si>
  <si>
    <t xml:space="preserve">Manager you spoke with </t>
  </si>
  <si>
    <t>rescheduled for 4/4 on trivia night</t>
  </si>
  <si>
    <t>Jared</t>
  </si>
  <si>
    <t>rescheduled for 4/4 7-9pm
original note: Women's March Madness game</t>
  </si>
  <si>
    <t>Cody's</t>
  </si>
  <si>
    <t>5 W Hubbard At</t>
  </si>
  <si>
    <t xml:space="preserve">Sunday </t>
  </si>
  <si>
    <t xml:space="preserve">Reggies </t>
  </si>
  <si>
    <t xml:space="preserve">Weathermark </t>
  </si>
  <si>
    <t>mstern@weathermarktavern.com, jillian@weathermarktavern.com</t>
  </si>
  <si>
    <t>Lovish, Jerad, MArcelo</t>
  </si>
  <si>
    <t>account wants to keep original time</t>
  </si>
  <si>
    <t>Jerad, MArcelo</t>
  </si>
  <si>
    <t>PHD</t>
  </si>
  <si>
    <t>covering multiple men's games</t>
  </si>
  <si>
    <t>Buffalo Wings and Rings</t>
  </si>
  <si>
    <t>justin@bwrbridgeport.com</t>
  </si>
  <si>
    <t>4PM women's game</t>
  </si>
  <si>
    <t>Graystone Tavern</t>
  </si>
  <si>
    <t>JERAD</t>
  </si>
  <si>
    <t>Weathermark</t>
  </si>
  <si>
    <t>LOVISH</t>
  </si>
  <si>
    <t>CBI x DISTRIBUTOR HAPPY HOUR</t>
  </si>
  <si>
    <t>MARCELO</t>
  </si>
  <si>
    <t>BMS / LEAD</t>
  </si>
  <si>
    <t xml:space="preserve">                         MARCH MADNESS TOURNAMENT SCHEDULE</t>
  </si>
  <si>
    <t xml:space="preserve">Round </t>
  </si>
  <si>
    <t>DAY</t>
  </si>
  <si>
    <t>DATE</t>
  </si>
  <si>
    <t>TEAM #1</t>
  </si>
  <si>
    <t>TEAM #2</t>
  </si>
  <si>
    <t>Time (ET)</t>
  </si>
  <si>
    <t>CST</t>
  </si>
  <si>
    <t>MTS</t>
  </si>
  <si>
    <t>PST</t>
  </si>
  <si>
    <t>TV CHANNEL</t>
  </si>
  <si>
    <t>FIRST FOUR</t>
  </si>
  <si>
    <t>Tuesday</t>
  </si>
  <si>
    <t>TBD</t>
  </si>
  <si>
    <t>Sling TV, TruTV</t>
  </si>
  <si>
    <t>ROUND 1</t>
  </si>
  <si>
    <t>ROUND 2</t>
  </si>
  <si>
    <t>SWEET 16</t>
  </si>
  <si>
    <t>ELITE 8</t>
  </si>
  <si>
    <t>FINAL 4</t>
  </si>
  <si>
    <t>CHAMPIONSHIP</t>
  </si>
  <si>
    <t>Support BA</t>
  </si>
  <si>
    <t>JENNA</t>
  </si>
  <si>
    <t>SOLO</t>
  </si>
  <si>
    <t>Old Republic</t>
  </si>
  <si>
    <t>155 S Randall Rd</t>
  </si>
  <si>
    <t>Elgin</t>
  </si>
  <si>
    <t>MIKE</t>
  </si>
  <si>
    <t>Erin</t>
  </si>
  <si>
    <t>2723 N Halstead</t>
  </si>
  <si>
    <t>Raina</t>
  </si>
  <si>
    <t>Raymonds Bowl</t>
  </si>
  <si>
    <t>3960 N Johnsburg Rd</t>
  </si>
  <si>
    <t>Johnsburg</t>
  </si>
  <si>
    <t>Fireplace Inn</t>
  </si>
  <si>
    <t>1448 N Wells</t>
  </si>
  <si>
    <t>Halftime</t>
  </si>
  <si>
    <t>2405 Johnsburg Rd</t>
  </si>
  <si>
    <t>Firebar</t>
  </si>
  <si>
    <t>435 Angela Ln</t>
  </si>
  <si>
    <t>Crystal Lake</t>
  </si>
  <si>
    <t>Flagship on the Fox</t>
  </si>
  <si>
    <t>100 S Riverside Ave</t>
  </si>
  <si>
    <t xml:space="preserve">St. Charles </t>
  </si>
  <si>
    <t>Janae</t>
  </si>
  <si>
    <t>Docks</t>
  </si>
  <si>
    <t>313 E Liberty St</t>
  </si>
  <si>
    <t>Wauconda</t>
  </si>
  <si>
    <t>Saylor Micks</t>
  </si>
  <si>
    <t>2020 US-12</t>
  </si>
  <si>
    <t>Spring Grove</t>
  </si>
  <si>
    <t>Chasers</t>
  </si>
  <si>
    <t>830 S Rand Rd</t>
  </si>
  <si>
    <t>Lake Zurich</t>
  </si>
  <si>
    <t>Rookies Hoffman Estates</t>
  </si>
  <si>
    <t>4607 W Higgins Rd</t>
  </si>
  <si>
    <t>Hoffman Estates</t>
  </si>
  <si>
    <t>Timothy O'Tooles</t>
  </si>
  <si>
    <t>622 N FAIRBANKS</t>
  </si>
  <si>
    <t>KARINA</t>
  </si>
  <si>
    <t>Hawkeyes</t>
  </si>
  <si>
    <t>1458 W TAYLOR ST</t>
  </si>
  <si>
    <t>Vintage Bar</t>
  </si>
  <si>
    <t>1447 W TAYLOR ST</t>
  </si>
  <si>
    <t>Mother Hubbard's</t>
  </si>
  <si>
    <t>5 W Hubbard</t>
  </si>
  <si>
    <t>McGee's</t>
  </si>
  <si>
    <t xml:space="preserve">950 W Webster </t>
  </si>
  <si>
    <t>Austins</t>
  </si>
  <si>
    <t>481 Peterson Rd</t>
  </si>
  <si>
    <t>Libertyville</t>
  </si>
  <si>
    <t>Emils Mundelein</t>
  </si>
  <si>
    <t>604 N Lake St</t>
  </si>
  <si>
    <t>Mundelein</t>
  </si>
  <si>
    <t>Anastasias</t>
  </si>
  <si>
    <t>950 Hillside Ave</t>
  </si>
  <si>
    <t>Antioch</t>
  </si>
  <si>
    <t>Kristofs</t>
  </si>
  <si>
    <t>421 W Rollins Rd</t>
  </si>
  <si>
    <t>Round Lake</t>
  </si>
  <si>
    <t>Scratch Public House</t>
  </si>
  <si>
    <t>7505 MADISON ST</t>
  </si>
  <si>
    <t>Forest Park</t>
  </si>
  <si>
    <t>120 Live</t>
  </si>
  <si>
    <t>120 W Bartlett Ave</t>
  </si>
  <si>
    <t>Bartlett</t>
  </si>
  <si>
    <t>O'Sullivans</t>
  </si>
  <si>
    <t>7244 MADISON ST</t>
  </si>
  <si>
    <t>4255 N River</t>
  </si>
  <si>
    <t>SCHILLER PARK</t>
  </si>
  <si>
    <t>J's Sports Bar</t>
  </si>
  <si>
    <t>816 Grand Ave</t>
  </si>
  <si>
    <t>Ingleside</t>
  </si>
  <si>
    <t>115 Bourbon St.</t>
  </si>
  <si>
    <t>3359 W 115th St</t>
  </si>
  <si>
    <t>Alsip</t>
  </si>
  <si>
    <t xml:space="preserve">Saturday </t>
  </si>
  <si>
    <t>Morgans</t>
  </si>
  <si>
    <t>532 N Milwaukee Ave</t>
  </si>
  <si>
    <t xml:space="preserve">Tavern in the Green </t>
  </si>
  <si>
    <t>3422 W 95th St</t>
  </si>
  <si>
    <t>Evergreen Park</t>
  </si>
  <si>
    <t>Whistle II</t>
  </si>
  <si>
    <t>7537 W 159TH ST</t>
  </si>
  <si>
    <t>TINLEY PARK</t>
  </si>
  <si>
    <t>Crazy Pour</t>
  </si>
  <si>
    <t>105 E N Ave</t>
  </si>
  <si>
    <t>Villa Park</t>
  </si>
  <si>
    <t>Edison Park Inn</t>
  </si>
  <si>
    <t>6715 N Olmsted Ave</t>
  </si>
  <si>
    <t>Emils Grayslake</t>
  </si>
  <si>
    <t>161 Center St</t>
  </si>
  <si>
    <t>Grayslake</t>
  </si>
  <si>
    <t>Firewater Saloon</t>
  </si>
  <si>
    <t>6689 N Oliphant Ave</t>
  </si>
  <si>
    <t>Crossroads</t>
  </si>
  <si>
    <t>1021 IL-83</t>
  </si>
  <si>
    <t>Reggie's</t>
  </si>
  <si>
    <t>2105 S STATE ST</t>
  </si>
  <si>
    <t>Alley 64</t>
  </si>
  <si>
    <t>212 Main St</t>
  </si>
  <si>
    <t>4255 N RIVER RD</t>
  </si>
  <si>
    <t>JT's Porch</t>
  </si>
  <si>
    <t>665 W Roosevelt Rd</t>
  </si>
  <si>
    <t>Lombard</t>
  </si>
  <si>
    <t>Smitty's Aleworks</t>
  </si>
  <si>
    <t>6764 W Forest Preserve Dr</t>
  </si>
  <si>
    <t>Harwood Heights</t>
  </si>
  <si>
    <t>Punky's</t>
  </si>
  <si>
    <t>16 S Park Ave A</t>
  </si>
  <si>
    <t>622 N Fairbanks</t>
  </si>
  <si>
    <t>Paisan's Berwyn</t>
  </si>
  <si>
    <t>6226 OGDEN AVE</t>
  </si>
  <si>
    <t>BERWYN</t>
  </si>
  <si>
    <t>Bobby G's</t>
  </si>
  <si>
    <t>6843 W ARCHER AVE</t>
  </si>
  <si>
    <t>CHICAGO</t>
  </si>
  <si>
    <t>Guide's</t>
  </si>
  <si>
    <t>5544 S ARCHER AVE STE 3036</t>
  </si>
  <si>
    <t>Danny's</t>
  </si>
  <si>
    <t>6021 S ARCHER AVE</t>
  </si>
  <si>
    <t>Mullen's</t>
  </si>
  <si>
    <t>8313 W Lawrence Ave</t>
  </si>
  <si>
    <t>Norridge</t>
  </si>
  <si>
    <t>Q Bar</t>
  </si>
  <si>
    <t>8109 S Cass Ave</t>
  </si>
  <si>
    <t>Darien</t>
  </si>
  <si>
    <t>Shoeless Joe's</t>
  </si>
  <si>
    <t>1480 W LAKE ST</t>
  </si>
  <si>
    <t>Addison</t>
  </si>
  <si>
    <t>Sebastian's</t>
  </si>
  <si>
    <t>8900 FAIRVIEW AVE</t>
  </si>
  <si>
    <t>Brookfield</t>
  </si>
  <si>
    <t>Fitz Pub</t>
  </si>
  <si>
    <t>172 N Addison Ave</t>
  </si>
  <si>
    <t>Elmhurst</t>
  </si>
  <si>
    <t>THANKSGIVING, THURSDAY, NOVEMBER 23rd</t>
  </si>
  <si>
    <t>Brudders</t>
  </si>
  <si>
    <t>3600 N PULASKI RD</t>
  </si>
  <si>
    <t>Paddy Mac's</t>
  </si>
  <si>
    <t>4157 N PULASKI RD</t>
  </si>
  <si>
    <t>Legends</t>
  </si>
  <si>
    <t>6320 IL-53</t>
  </si>
  <si>
    <t>Woodridge</t>
  </si>
  <si>
    <t>Tree Guys</t>
  </si>
  <si>
    <t>101 E IRVING PARK RD</t>
  </si>
  <si>
    <t>Itasca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</si>
</sst>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h&quot;:&quot;mm&quot;: &quot;AM/PM"/>
    <numFmt numFmtId="165" formatCode="m/d"/>
    <numFmt numFmtId="166" formatCode="h&quot;:&quot;mmAM/PM"/>
    <numFmt numFmtId="167" formatCode="mm&quot;/&quot;d"/>
    <numFmt numFmtId="168" formatCode="&quot; &quot;mm&quot;/&quot;dd"/>
    <numFmt numFmtId="169" formatCode="d\-mmm"/>
    <numFmt numFmtId="170" formatCode="[$-409]h:mm\ AM/PM"/>
    <numFmt numFmtId="171" formatCode="h&quot;:&quot;mm&quot; &quot;AM/PM"/>
  </numFmts>
  <fonts count="3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Poppins"/>
    </font>
    <font>
      <b/>
      <sz val="14"/>
      <color rgb="FFFFC000"/>
      <name val="Poppins"/>
    </font>
    <font>
      <sz val="10"/>
      <name val="Arial"/>
    </font>
    <font>
      <sz val="10"/>
      <color theme="1"/>
      <name val="Arial"/>
    </font>
    <font>
      <b/>
      <sz val="14"/>
      <color rgb="FFFFFFFF"/>
      <name val="Poppins"/>
    </font>
    <font>
      <b/>
      <sz val="10"/>
      <color rgb="FF666666"/>
      <name val="Poppins"/>
    </font>
    <font>
      <b/>
      <sz val="9"/>
      <color theme="1"/>
      <name val="Poppins"/>
    </font>
    <font>
      <sz val="9"/>
      <color theme="1"/>
      <name val="Poppins"/>
    </font>
    <font>
      <b/>
      <sz val="10"/>
      <color theme="1"/>
      <name val="Poppins"/>
    </font>
    <font>
      <b/>
      <sz val="12"/>
      <color rgb="FFFFFFFF"/>
      <name val="Calibri"/>
    </font>
    <font>
      <b/>
      <sz val="10"/>
      <color theme="1"/>
      <name val="Poppins"/>
    </font>
    <font>
      <sz val="11"/>
      <color rgb="FF000000"/>
      <name val="Calibri"/>
    </font>
    <font>
      <sz val="10"/>
      <color rgb="FF000000"/>
      <name val="Poppins"/>
    </font>
    <font>
      <sz val="10"/>
      <color theme="1"/>
      <name val="Poppins"/>
    </font>
    <font>
      <sz val="10"/>
      <color theme="1"/>
      <name val="Manrope"/>
    </font>
    <font>
      <b/>
      <sz val="9"/>
      <color rgb="FF000000"/>
      <name val="Poppins"/>
    </font>
    <font>
      <sz val="10"/>
      <color rgb="FF000000"/>
      <name val="Arial"/>
    </font>
    <font>
      <sz val="11"/>
      <color theme="1"/>
      <name val="Calibri"/>
    </font>
    <font>
      <b/>
      <sz val="12"/>
      <color theme="1"/>
      <name val="Poppins"/>
    </font>
    <font>
      <b/>
      <sz val="11"/>
      <color theme="1"/>
      <name val="Poppins"/>
    </font>
    <font>
      <b/>
      <u/>
      <sz val="12"/>
      <color rgb="FF0000FF"/>
      <name val="Poppins"/>
    </font>
    <font>
      <b/>
      <sz val="10"/>
      <color rgb="FFFFFFFF"/>
      <name val="Poppins"/>
    </font>
    <font>
      <sz val="11"/>
      <color rgb="FF202124"/>
      <name val="Roboto"/>
    </font>
    <font>
      <sz val="10"/>
      <color rgb="FF202124"/>
      <name val="Poppins"/>
    </font>
    <font>
      <sz val="10"/>
      <color rgb="FF3C4043"/>
      <name val="Poppins"/>
    </font>
    <font>
      <b/>
      <sz val="12"/>
      <color rgb="FF000000"/>
      <name val="Poppins"/>
    </font>
    <font>
      <b/>
      <sz val="14"/>
      <color rgb="FF222222"/>
      <name val="Arial"/>
    </font>
    <font>
      <b/>
      <sz val="14"/>
      <color rgb="FFFFFFFF"/>
      <name val="Arial"/>
    </font>
    <font>
      <sz val="11"/>
      <color rgb="FF202124"/>
      <name val="Docs-Roboto"/>
    </font>
    <font>
      <sz val="10"/>
      <color rgb="FF000000"/>
      <name val="Poppins"/>
    </font>
    <font>
      <sz val="14"/>
      <color rgb="FFFFFFFF"/>
      <name val="Poppins"/>
    </font>
    <font>
      <u/>
      <sz val="10"/>
      <color theme="1"/>
      <name val="Poppins"/>
    </font>
    <font>
      <b/>
      <sz val="15"/>
      <color theme="1"/>
      <name val="Poppins"/>
    </font>
    <font>
      <sz val="10"/>
      <color rgb="FF202124"/>
      <name val="Poppins"/>
    </font>
    <font>
      <sz val="12"/>
      <color theme="1"/>
      <name val="Calibri"/>
    </font>
    <font>
      <b/>
      <sz val="10"/>
      <color rgb="FFFFFFFF"/>
      <name val="Poppins"/>
    </font>
  </fonts>
  <fills count="19">
    <fill>
      <patternFill patternType="none"/>
    </fill>
    <fill>
      <patternFill patternType="gray125"/>
    </fill>
    <fill>
      <patternFill patternType="solid">
        <fgColor rgb="FF495683"/>
        <bgColor rgb="FF49568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BBC04"/>
        <bgColor rgb="FFFBBC04"/>
      </patternFill>
    </fill>
    <fill>
      <patternFill patternType="solid">
        <fgColor rgb="FF34A853"/>
        <bgColor rgb="FF34A853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9" fontId="1" fillId="0" borderId="0" xfId="0" applyNumberFormat="1" applyFont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1" fontId="9" fillId="5" borderId="4" xfId="0" applyNumberFormat="1" applyFont="1" applyFill="1" applyBorder="1" applyAlignment="1">
      <alignment horizontal="center" vertical="center"/>
    </xf>
    <xf numFmtId="9" fontId="9" fillId="5" borderId="4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9" fontId="8" fillId="5" borderId="4" xfId="0" applyNumberFormat="1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1" fontId="10" fillId="6" borderId="4" xfId="0" applyNumberFormat="1" applyFont="1" applyFill="1" applyBorder="1" applyAlignment="1">
      <alignment horizontal="center" vertical="center"/>
    </xf>
    <xf numFmtId="9" fontId="5" fillId="6" borderId="4" xfId="0" applyNumberFormat="1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2" fillId="8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0" fillId="8" borderId="5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/>
    <xf numFmtId="0" fontId="15" fillId="4" borderId="3" xfId="0" applyFont="1" applyFill="1" applyBorder="1"/>
    <xf numFmtId="0" fontId="15" fillId="4" borderId="3" xfId="0" applyFont="1" applyFill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6" fillId="0" borderId="4" xfId="0" applyFont="1" applyBorder="1"/>
    <xf numFmtId="0" fontId="16" fillId="4" borderId="4" xfId="0" applyFont="1" applyFill="1" applyBorder="1"/>
    <xf numFmtId="0" fontId="16" fillId="4" borderId="4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4" fillId="4" borderId="4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center" vertical="center"/>
    </xf>
    <xf numFmtId="0" fontId="5" fillId="0" borderId="0" xfId="0" applyFont="1"/>
    <xf numFmtId="0" fontId="5" fillId="4" borderId="0" xfId="0" applyFont="1" applyFill="1"/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left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10" fontId="8" fillId="4" borderId="0" xfId="0" applyNumberFormat="1" applyFont="1" applyFill="1" applyAlignment="1">
      <alignment horizontal="center" vertical="center"/>
    </xf>
    <xf numFmtId="0" fontId="19" fillId="0" borderId="0" xfId="0" applyFont="1"/>
    <xf numFmtId="0" fontId="20" fillId="4" borderId="0" xfId="0" applyFont="1" applyFill="1" applyAlignment="1">
      <alignment horizontal="center" wrapText="1"/>
    </xf>
    <xf numFmtId="49" fontId="3" fillId="4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21" fillId="3" borderId="4" xfId="0" applyNumberFormat="1" applyFont="1" applyFill="1" applyBorder="1" applyAlignment="1">
      <alignment horizontal="center" vertical="center" wrapText="1"/>
    </xf>
    <xf numFmtId="49" fontId="21" fillId="3" borderId="4" xfId="0" applyNumberFormat="1" applyFont="1" applyFill="1" applyBorder="1" applyAlignment="1">
      <alignment horizontal="center" vertical="center"/>
    </xf>
    <xf numFmtId="49" fontId="21" fillId="4" borderId="0" xfId="0" applyNumberFormat="1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18" fillId="0" borderId="4" xfId="0" applyFont="1" applyBorder="1"/>
    <xf numFmtId="0" fontId="15" fillId="0" borderId="4" xfId="0" applyFont="1" applyBorder="1" applyAlignment="1">
      <alignment horizontal="center" vertical="center"/>
    </xf>
    <xf numFmtId="0" fontId="24" fillId="0" borderId="4" xfId="0" applyFont="1" applyBorder="1"/>
    <xf numFmtId="0" fontId="24" fillId="4" borderId="0" xfId="0" applyFont="1" applyFill="1"/>
    <xf numFmtId="0" fontId="25" fillId="0" borderId="4" xfId="0" applyFont="1" applyBorder="1" applyAlignment="1">
      <alignment horizontal="left" vertical="center"/>
    </xf>
    <xf numFmtId="0" fontId="24" fillId="4" borderId="4" xfId="0" applyFont="1" applyFill="1" applyBorder="1"/>
    <xf numFmtId="0" fontId="26" fillId="0" borderId="4" xfId="0" applyFont="1" applyBorder="1" applyAlignment="1">
      <alignment horizontal="center" vertical="center"/>
    </xf>
    <xf numFmtId="0" fontId="24" fillId="4" borderId="4" xfId="0" applyFont="1" applyFill="1" applyBorder="1" applyAlignment="1">
      <alignment horizontal="left"/>
    </xf>
    <xf numFmtId="0" fontId="12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28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164" fontId="20" fillId="4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27" fillId="10" borderId="2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164" fontId="20" fillId="8" borderId="4" xfId="0" applyNumberFormat="1" applyFont="1" applyFill="1" applyBorder="1" applyAlignment="1">
      <alignment horizontal="center" vertical="center" wrapText="1"/>
    </xf>
    <xf numFmtId="49" fontId="21" fillId="8" borderId="4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4" borderId="9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wrapText="1"/>
    </xf>
    <xf numFmtId="165" fontId="14" fillId="4" borderId="4" xfId="0" applyNumberFormat="1" applyFont="1" applyFill="1" applyBorder="1" applyAlignment="1">
      <alignment horizontal="center" vertical="center" wrapText="1"/>
    </xf>
    <xf numFmtId="166" fontId="14" fillId="4" borderId="4" xfId="0" applyNumberFormat="1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center" vertical="center" wrapText="1"/>
    </xf>
    <xf numFmtId="0" fontId="30" fillId="4" borderId="4" xfId="0" applyFont="1" applyFill="1" applyBorder="1" applyAlignment="1">
      <alignment horizontal="left"/>
    </xf>
    <xf numFmtId="0" fontId="2" fillId="9" borderId="9" xfId="0" applyFont="1" applyFill="1" applyBorder="1" applyAlignment="1">
      <alignment horizontal="center" wrapText="1"/>
    </xf>
    <xf numFmtId="167" fontId="14" fillId="9" borderId="4" xfId="0" applyNumberFormat="1" applyFont="1" applyFill="1" applyBorder="1" applyAlignment="1">
      <alignment horizontal="center" vertical="center" wrapText="1"/>
    </xf>
    <xf numFmtId="166" fontId="14" fillId="9" borderId="4" xfId="0" applyNumberFormat="1" applyFont="1" applyFill="1" applyBorder="1" applyAlignment="1">
      <alignment horizontal="center" vertical="center" wrapText="1"/>
    </xf>
    <xf numFmtId="18" fontId="14" fillId="9" borderId="4" xfId="0" applyNumberFormat="1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left" vertical="center" wrapText="1"/>
    </xf>
    <xf numFmtId="0" fontId="24" fillId="9" borderId="4" xfId="0" applyFont="1" applyFill="1" applyBorder="1"/>
    <xf numFmtId="0" fontId="14" fillId="9" borderId="4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wrapText="1"/>
    </xf>
    <xf numFmtId="0" fontId="14" fillId="0" borderId="4" xfId="0" applyFont="1" applyBorder="1" applyAlignment="1">
      <alignment horizontal="center" vertical="center" wrapText="1"/>
    </xf>
    <xf numFmtId="165" fontId="14" fillId="0" borderId="4" xfId="0" applyNumberFormat="1" applyFont="1" applyBorder="1" applyAlignment="1">
      <alignment horizontal="center" vertical="center" wrapText="1"/>
    </xf>
    <xf numFmtId="166" fontId="14" fillId="0" borderId="4" xfId="0" applyNumberFormat="1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wrapText="1"/>
    </xf>
    <xf numFmtId="0" fontId="14" fillId="4" borderId="12" xfId="0" applyFont="1" applyFill="1" applyBorder="1" applyAlignment="1">
      <alignment horizontal="center" vertical="center" wrapText="1"/>
    </xf>
    <xf numFmtId="166" fontId="2" fillId="4" borderId="3" xfId="0" applyNumberFormat="1" applyFont="1" applyFill="1" applyBorder="1" applyAlignment="1">
      <alignment horizontal="center" wrapText="1"/>
    </xf>
    <xf numFmtId="0" fontId="31" fillId="4" borderId="0" xfId="0" applyFont="1" applyFill="1" applyAlignment="1">
      <alignment horizontal="center"/>
    </xf>
    <xf numFmtId="0" fontId="14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0" fontId="15" fillId="4" borderId="4" xfId="0" applyFont="1" applyFill="1" applyBorder="1" applyAlignment="1">
      <alignment horizontal="left" vertical="center" wrapText="1"/>
    </xf>
    <xf numFmtId="18" fontId="14" fillId="0" borderId="4" xfId="0" applyNumberFormat="1" applyFont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 wrapText="1"/>
    </xf>
    <xf numFmtId="0" fontId="32" fillId="9" borderId="3" xfId="0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0" fillId="0" borderId="4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5" fillId="0" borderId="4" xfId="0" applyFont="1" applyBorder="1" applyAlignment="1">
      <alignment wrapText="1"/>
    </xf>
    <xf numFmtId="0" fontId="15" fillId="0" borderId="4" xfId="0" applyFont="1" applyBorder="1" applyAlignment="1">
      <alignment horizontal="center" wrapText="1"/>
    </xf>
    <xf numFmtId="165" fontId="15" fillId="0" borderId="4" xfId="0" applyNumberFormat="1" applyFont="1" applyBorder="1" applyAlignment="1">
      <alignment wrapText="1"/>
    </xf>
    <xf numFmtId="18" fontId="15" fillId="0" borderId="4" xfId="0" applyNumberFormat="1" applyFont="1" applyBorder="1" applyAlignment="1">
      <alignment wrapText="1"/>
    </xf>
    <xf numFmtId="0" fontId="15" fillId="0" borderId="0" xfId="0" applyFont="1" applyAlignment="1">
      <alignment horizontal="center" wrapText="1"/>
    </xf>
    <xf numFmtId="0" fontId="29" fillId="2" borderId="0" xfId="0" applyFont="1" applyFill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1" fillId="0" borderId="4" xfId="0" applyFont="1" applyBorder="1"/>
    <xf numFmtId="167" fontId="14" fillId="4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3" fillId="0" borderId="4" xfId="0" applyFont="1" applyBorder="1" applyAlignment="1">
      <alignment horizontal="center" vertical="center"/>
    </xf>
    <xf numFmtId="20" fontId="14" fillId="4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/>
    </xf>
    <xf numFmtId="0" fontId="14" fillId="0" borderId="9" xfId="0" applyFont="1" applyBorder="1" applyAlignment="1">
      <alignment horizontal="center" vertical="center" wrapText="1"/>
    </xf>
    <xf numFmtId="167" fontId="14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/>
    </xf>
    <xf numFmtId="0" fontId="20" fillId="0" borderId="4" xfId="0" applyFont="1" applyBorder="1" applyAlignment="1">
      <alignment horizontal="center" vertical="center" wrapText="1"/>
    </xf>
    <xf numFmtId="0" fontId="27" fillId="15" borderId="4" xfId="0" applyFont="1" applyFill="1" applyBorder="1" applyAlignment="1">
      <alignment horizontal="center"/>
    </xf>
    <xf numFmtId="0" fontId="27" fillId="15" borderId="3" xfId="0" applyFont="1" applyFill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31" fillId="4" borderId="3" xfId="0" applyFont="1" applyFill="1" applyBorder="1" applyAlignment="1">
      <alignment horizontal="center"/>
    </xf>
    <xf numFmtId="168" fontId="31" fillId="4" borderId="3" xfId="0" applyNumberFormat="1" applyFont="1" applyFill="1" applyBorder="1" applyAlignment="1">
      <alignment horizontal="center"/>
    </xf>
    <xf numFmtId="18" fontId="31" fillId="4" borderId="3" xfId="0" applyNumberFormat="1" applyFont="1" applyFill="1" applyBorder="1" applyAlignment="1">
      <alignment horizontal="center"/>
    </xf>
    <xf numFmtId="0" fontId="31" fillId="4" borderId="3" xfId="0" applyFont="1" applyFill="1" applyBorder="1" applyAlignment="1">
      <alignment horizontal="left"/>
    </xf>
    <xf numFmtId="0" fontId="31" fillId="4" borderId="12" xfId="0" applyFont="1" applyFill="1" applyBorder="1" applyAlignment="1">
      <alignment horizontal="center"/>
    </xf>
    <xf numFmtId="0" fontId="18" fillId="0" borderId="9" xfId="0" applyFont="1" applyBorder="1" applyAlignment="1">
      <alignment horizontal="center"/>
    </xf>
    <xf numFmtId="168" fontId="31" fillId="4" borderId="12" xfId="0" applyNumberFormat="1" applyFont="1" applyFill="1" applyBorder="1" applyAlignment="1">
      <alignment horizontal="center"/>
    </xf>
    <xf numFmtId="18" fontId="31" fillId="4" borderId="12" xfId="0" applyNumberFormat="1" applyFont="1" applyFill="1" applyBorder="1" applyAlignment="1">
      <alignment horizontal="center"/>
    </xf>
    <xf numFmtId="0" fontId="31" fillId="4" borderId="12" xfId="0" applyFont="1" applyFill="1" applyBorder="1" applyAlignment="1">
      <alignment horizontal="left"/>
    </xf>
    <xf numFmtId="0" fontId="31" fillId="4" borderId="9" xfId="0" applyFont="1" applyFill="1" applyBorder="1" applyAlignment="1">
      <alignment horizontal="center"/>
    </xf>
    <xf numFmtId="0" fontId="31" fillId="0" borderId="12" xfId="0" applyFont="1" applyBorder="1" applyAlignment="1">
      <alignment horizontal="center"/>
    </xf>
    <xf numFmtId="18" fontId="1" fillId="0" borderId="4" xfId="0" applyNumberFormat="1" applyFont="1" applyBorder="1" applyAlignment="1">
      <alignment horizontal="center"/>
    </xf>
    <xf numFmtId="0" fontId="31" fillId="4" borderId="12" xfId="0" applyFont="1" applyFill="1" applyBorder="1"/>
    <xf numFmtId="0" fontId="24" fillId="0" borderId="12" xfId="0" applyFont="1" applyBorder="1"/>
    <xf numFmtId="0" fontId="31" fillId="0" borderId="12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24" fillId="4" borderId="12" xfId="0" applyFont="1" applyFill="1" applyBorder="1" applyAlignment="1">
      <alignment horizontal="left"/>
    </xf>
    <xf numFmtId="0" fontId="24" fillId="0" borderId="12" xfId="0" applyFont="1" applyBorder="1" applyAlignment="1">
      <alignment horizontal="left"/>
    </xf>
    <xf numFmtId="165" fontId="31" fillId="4" borderId="12" xfId="0" applyNumberFormat="1" applyFont="1" applyFill="1" applyBorder="1" applyAlignment="1">
      <alignment horizontal="center"/>
    </xf>
    <xf numFmtId="0" fontId="35" fillId="0" borderId="12" xfId="0" applyFont="1" applyBorder="1"/>
    <xf numFmtId="0" fontId="24" fillId="4" borderId="12" xfId="0" applyFont="1" applyFill="1" applyBorder="1"/>
    <xf numFmtId="0" fontId="31" fillId="0" borderId="12" xfId="0" applyFont="1" applyBorder="1"/>
    <xf numFmtId="0" fontId="30" fillId="4" borderId="12" xfId="0" applyFont="1" applyFill="1" applyBorder="1"/>
    <xf numFmtId="0" fontId="31" fillId="16" borderId="9" xfId="0" applyFont="1" applyFill="1" applyBorder="1" applyAlignment="1">
      <alignment horizontal="center"/>
    </xf>
    <xf numFmtId="0" fontId="31" fillId="16" borderId="12" xfId="0" applyFont="1" applyFill="1" applyBorder="1" applyAlignment="1">
      <alignment horizontal="center"/>
    </xf>
    <xf numFmtId="169" fontId="31" fillId="16" borderId="12" xfId="0" applyNumberFormat="1" applyFont="1" applyFill="1" applyBorder="1" applyAlignment="1">
      <alignment horizontal="center"/>
    </xf>
    <xf numFmtId="18" fontId="31" fillId="16" borderId="12" xfId="0" applyNumberFormat="1" applyFont="1" applyFill="1" applyBorder="1" applyAlignment="1">
      <alignment horizontal="center"/>
    </xf>
    <xf numFmtId="0" fontId="31" fillId="16" borderId="12" xfId="0" applyFont="1" applyFill="1" applyBorder="1"/>
    <xf numFmtId="0" fontId="24" fillId="16" borderId="12" xfId="0" applyFont="1" applyFill="1" applyBorder="1"/>
    <xf numFmtId="0" fontId="31" fillId="16" borderId="12" xfId="0" applyFont="1" applyFill="1" applyBorder="1" applyAlignment="1">
      <alignment horizontal="left"/>
    </xf>
    <xf numFmtId="169" fontId="31" fillId="4" borderId="12" xfId="0" applyNumberFormat="1" applyFont="1" applyFill="1" applyBorder="1" applyAlignment="1">
      <alignment horizontal="center"/>
    </xf>
    <xf numFmtId="0" fontId="18" fillId="0" borderId="12" xfId="0" applyFont="1" applyBorder="1"/>
    <xf numFmtId="169" fontId="31" fillId="0" borderId="12" xfId="0" applyNumberFormat="1" applyFont="1" applyBorder="1" applyAlignment="1">
      <alignment horizontal="center"/>
    </xf>
    <xf numFmtId="165" fontId="31" fillId="0" borderId="12" xfId="0" applyNumberFormat="1" applyFont="1" applyBorder="1" applyAlignment="1">
      <alignment horizontal="center"/>
    </xf>
    <xf numFmtId="18" fontId="31" fillId="0" borderId="12" xfId="0" applyNumberFormat="1" applyFont="1" applyBorder="1" applyAlignment="1">
      <alignment horizontal="center"/>
    </xf>
    <xf numFmtId="164" fontId="20" fillId="8" borderId="3" xfId="0" applyNumberFormat="1" applyFont="1" applyFill="1" applyBorder="1" applyAlignment="1">
      <alignment horizontal="center" vertical="center" wrapText="1"/>
    </xf>
    <xf numFmtId="165" fontId="2" fillId="4" borderId="12" xfId="0" applyNumberFormat="1" applyFont="1" applyFill="1" applyBorder="1" applyAlignment="1">
      <alignment horizontal="center" wrapText="1"/>
    </xf>
    <xf numFmtId="166" fontId="2" fillId="4" borderId="12" xfId="0" applyNumberFormat="1" applyFont="1" applyFill="1" applyBorder="1" applyAlignment="1">
      <alignment horizontal="center" wrapText="1"/>
    </xf>
    <xf numFmtId="0" fontId="2" fillId="4" borderId="12" xfId="0" applyFont="1" applyFill="1" applyBorder="1" applyAlignment="1">
      <alignment wrapText="1"/>
    </xf>
    <xf numFmtId="165" fontId="2" fillId="0" borderId="12" xfId="0" applyNumberFormat="1" applyFont="1" applyBorder="1" applyAlignment="1">
      <alignment horizontal="center" wrapText="1"/>
    </xf>
    <xf numFmtId="166" fontId="2" fillId="0" borderId="12" xfId="0" applyNumberFormat="1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1" fillId="0" borderId="9" xfId="0" applyFont="1" applyBorder="1"/>
    <xf numFmtId="167" fontId="14" fillId="4" borderId="12" xfId="0" applyNumberFormat="1" applyFont="1" applyFill="1" applyBorder="1" applyAlignment="1">
      <alignment horizontal="center" vertical="center" wrapText="1"/>
    </xf>
    <xf numFmtId="166" fontId="14" fillId="4" borderId="12" xfId="0" applyNumberFormat="1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horizontal="center" wrapText="1"/>
    </xf>
    <xf numFmtId="165" fontId="2" fillId="4" borderId="4" xfId="0" applyNumberFormat="1" applyFont="1" applyFill="1" applyBorder="1" applyAlignment="1">
      <alignment horizontal="center" wrapText="1"/>
    </xf>
    <xf numFmtId="166" fontId="2" fillId="4" borderId="4" xfId="0" applyNumberFormat="1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0" fontId="2" fillId="0" borderId="4" xfId="0" applyFont="1" applyBorder="1"/>
    <xf numFmtId="0" fontId="30" fillId="4" borderId="4" xfId="0" applyFont="1" applyFill="1" applyBorder="1"/>
    <xf numFmtId="49" fontId="3" fillId="2" borderId="10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9" fontId="21" fillId="4" borderId="0" xfId="0" applyNumberFormat="1" applyFont="1" applyFill="1" applyAlignment="1">
      <alignment horizontal="center" vertical="center"/>
    </xf>
    <xf numFmtId="0" fontId="21" fillId="0" borderId="1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170" fontId="21" fillId="0" borderId="14" xfId="0" applyNumberFormat="1" applyFont="1" applyBorder="1" applyAlignment="1">
      <alignment horizontal="center"/>
    </xf>
    <xf numFmtId="49" fontId="21" fillId="0" borderId="14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5" fillId="0" borderId="9" xfId="0" applyFont="1" applyBorder="1"/>
    <xf numFmtId="0" fontId="5" fillId="0" borderId="12" xfId="0" applyFont="1" applyBorder="1"/>
    <xf numFmtId="168" fontId="5" fillId="0" borderId="12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70" fontId="5" fillId="0" borderId="12" xfId="0" applyNumberFormat="1" applyFont="1" applyBorder="1" applyAlignment="1">
      <alignment horizontal="center"/>
    </xf>
    <xf numFmtId="171" fontId="5" fillId="0" borderId="12" xfId="0" applyNumberFormat="1" applyFont="1" applyBorder="1" applyAlignment="1">
      <alignment horizontal="center"/>
    </xf>
    <xf numFmtId="18" fontId="5" fillId="0" borderId="12" xfId="0" applyNumberFormat="1" applyFont="1" applyBorder="1" applyAlignment="1">
      <alignment horizontal="center"/>
    </xf>
    <xf numFmtId="18" fontId="5" fillId="0" borderId="6" xfId="0" applyNumberFormat="1" applyFont="1" applyBorder="1" applyAlignment="1">
      <alignment horizontal="center"/>
    </xf>
    <xf numFmtId="0" fontId="14" fillId="0" borderId="0" xfId="0" applyFont="1"/>
    <xf numFmtId="0" fontId="2" fillId="0" borderId="9" xfId="0" applyFont="1" applyBorder="1" applyAlignment="1">
      <alignment horizontal="center"/>
    </xf>
    <xf numFmtId="0" fontId="2" fillId="0" borderId="12" xfId="0" applyFont="1" applyBorder="1"/>
    <xf numFmtId="16" fontId="2" fillId="0" borderId="12" xfId="0" applyNumberFormat="1" applyFont="1" applyBorder="1" applyAlignment="1">
      <alignment horizontal="center"/>
    </xf>
    <xf numFmtId="18" fontId="2" fillId="0" borderId="12" xfId="0" applyNumberFormat="1" applyFont="1" applyBorder="1" applyAlignment="1">
      <alignment horizontal="center"/>
    </xf>
    <xf numFmtId="18" fontId="2" fillId="0" borderId="12" xfId="0" applyNumberFormat="1" applyFont="1" applyBorder="1" applyAlignment="1">
      <alignment horizontal="right"/>
    </xf>
    <xf numFmtId="0" fontId="2" fillId="0" borderId="12" xfId="0" applyFont="1" applyBorder="1" applyAlignment="1">
      <alignment horizontal="center"/>
    </xf>
    <xf numFmtId="0" fontId="15" fillId="0" borderId="0" xfId="0" applyFont="1"/>
    <xf numFmtId="0" fontId="36" fillId="0" borderId="12" xfId="0" applyFont="1" applyBorder="1"/>
    <xf numFmtId="16" fontId="2" fillId="0" borderId="12" xfId="0" applyNumberFormat="1" applyFont="1" applyBorder="1" applyAlignment="1">
      <alignment horizontal="center" wrapText="1"/>
    </xf>
    <xf numFmtId="18" fontId="14" fillId="4" borderId="4" xfId="0" applyNumberFormat="1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2" fillId="17" borderId="12" xfId="0" applyFont="1" applyFill="1" applyBorder="1" applyAlignment="1">
      <alignment horizontal="center" wrapText="1"/>
    </xf>
    <xf numFmtId="0" fontId="2" fillId="18" borderId="12" xfId="0" applyFont="1" applyFill="1" applyBorder="1" applyAlignment="1">
      <alignment horizontal="center" wrapText="1"/>
    </xf>
    <xf numFmtId="0" fontId="15" fillId="4" borderId="4" xfId="0" applyFont="1" applyFill="1" applyBorder="1" applyAlignment="1">
      <alignment horizontal="left" vertical="center"/>
    </xf>
    <xf numFmtId="0" fontId="2" fillId="18" borderId="4" xfId="0" applyFont="1" applyFill="1" applyBorder="1" applyAlignment="1">
      <alignment horizontal="center" wrapText="1"/>
    </xf>
    <xf numFmtId="0" fontId="2" fillId="9" borderId="4" xfId="0" applyFont="1" applyFill="1" applyBorder="1" applyAlignment="1">
      <alignment horizontal="center" wrapText="1"/>
    </xf>
    <xf numFmtId="0" fontId="1" fillId="9" borderId="4" xfId="0" applyFont="1" applyFill="1" applyBorder="1"/>
    <xf numFmtId="0" fontId="24" fillId="9" borderId="4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4" fillId="4" borderId="0" xfId="0" applyFont="1" applyFill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3" fontId="6" fillId="4" borderId="0" xfId="0" applyNumberFormat="1" applyFont="1" applyFill="1" applyAlignment="1">
      <alignment horizontal="center" vertical="center"/>
    </xf>
    <xf numFmtId="0" fontId="0" fillId="0" borderId="0" xfId="0"/>
    <xf numFmtId="49" fontId="3" fillId="2" borderId="1" xfId="0" applyNumberFormat="1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wrapText="1"/>
    </xf>
    <xf numFmtId="0" fontId="4" fillId="0" borderId="10" xfId="0" applyFont="1" applyBorder="1"/>
    <xf numFmtId="0" fontId="34" fillId="15" borderId="0" xfId="0" applyFont="1" applyFill="1" applyAlignment="1">
      <alignment horizontal="center" vertical="center"/>
    </xf>
    <xf numFmtId="49" fontId="3" fillId="2" borderId="11" xfId="0" applyNumberFormat="1" applyFont="1" applyFill="1" applyBorder="1" applyAlignment="1">
      <alignment horizontal="left" vertical="center"/>
    </xf>
    <xf numFmtId="0" fontId="37" fillId="9" borderId="1" xfId="0" applyFont="1" applyFill="1" applyBorder="1" applyAlignment="1">
      <alignment horizontal="center" wrapText="1"/>
    </xf>
  </cellXfs>
  <cellStyles count="1">
    <cellStyle name="Normal" xfId="0" builtinId="0"/>
  </cellStyles>
  <dxfs count="25">
    <dxf>
      <fill>
        <patternFill patternType="solid">
          <fgColor theme="5"/>
          <bgColor theme="5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0</xdr:row>
      <xdr:rowOff>0</xdr:rowOff>
    </xdr:from>
    <xdr:ext cx="695325" cy="695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0</xdr:rowOff>
    </xdr:from>
    <xdr:ext cx="695325" cy="695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0</xdr:rowOff>
    </xdr:from>
    <xdr:ext cx="695325" cy="695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0</xdr:rowOff>
    </xdr:from>
    <xdr:ext cx="695325" cy="695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9525</xdr:rowOff>
    </xdr:from>
    <xdr:ext cx="695325" cy="695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google.com/maps/d/edit?hl=en&amp;hl=en&amp;mid=1x39KY-JVenFXmqmRaTtpfpD2Pd_A0Jw&amp;ll=41.922267360062364%2C-87.69459639711869&amp;z=1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matt@pioneertaverngroup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35"/>
  <sheetViews>
    <sheetView showGridLines="0" tabSelected="1" workbookViewId="0"/>
  </sheetViews>
  <sheetFormatPr defaultColWidth="12.5703125" defaultRowHeight="15.75" customHeight="1"/>
  <cols>
    <col min="1" max="1" width="2.42578125" customWidth="1"/>
    <col min="2" max="2" width="23.140625" customWidth="1"/>
    <col min="3" max="4" width="16" customWidth="1"/>
    <col min="5" max="5" width="23.7109375" customWidth="1"/>
    <col min="6" max="6" width="16" customWidth="1"/>
    <col min="7" max="7" width="2.42578125" customWidth="1"/>
    <col min="8" max="8" width="21.7109375" customWidth="1"/>
    <col min="9" max="9" width="13.5703125" customWidth="1"/>
    <col min="10" max="10" width="15.42578125" customWidth="1"/>
    <col min="11" max="11" width="13.140625" customWidth="1"/>
    <col min="12" max="12" width="13.5703125" customWidth="1"/>
    <col min="13" max="13" width="11.28515625" customWidth="1"/>
  </cols>
  <sheetData>
    <row r="1" spans="1:13" ht="20.25" customHeight="1">
      <c r="A1" s="1"/>
      <c r="B1" s="1"/>
      <c r="C1" s="1"/>
      <c r="D1" s="1"/>
      <c r="E1" s="1"/>
      <c r="F1" s="1"/>
      <c r="G1" s="1"/>
      <c r="H1" s="2"/>
      <c r="I1" s="2"/>
      <c r="J1" s="3"/>
      <c r="K1" s="1"/>
      <c r="L1" s="1"/>
      <c r="M1" s="1"/>
    </row>
    <row r="2" spans="1:13" ht="37.5" customHeight="1">
      <c r="A2" s="1"/>
      <c r="B2" s="256" t="s">
        <v>0</v>
      </c>
      <c r="C2" s="252"/>
      <c r="D2" s="252"/>
      <c r="E2" s="252"/>
      <c r="F2" s="253"/>
      <c r="G2" s="1"/>
      <c r="H2" s="2"/>
      <c r="I2" s="2"/>
      <c r="J2" s="3"/>
      <c r="K2" s="1"/>
      <c r="L2" s="1"/>
      <c r="M2" s="1"/>
    </row>
    <row r="3" spans="1:13" ht="19.5">
      <c r="A3" s="1"/>
      <c r="B3" s="4"/>
      <c r="C3" s="4"/>
      <c r="D3" s="4"/>
      <c r="E3" s="4"/>
      <c r="F3" s="4"/>
      <c r="G3" s="1"/>
      <c r="H3" s="2"/>
      <c r="I3" s="2"/>
      <c r="J3" s="3"/>
      <c r="K3" s="1"/>
      <c r="L3" s="1"/>
      <c r="M3" s="1"/>
    </row>
    <row r="4" spans="1:13" ht="28.5">
      <c r="A4" s="1"/>
      <c r="B4" s="257" t="s">
        <v>1</v>
      </c>
      <c r="C4" s="252"/>
      <c r="D4" s="252"/>
      <c r="E4" s="252"/>
      <c r="F4" s="253"/>
      <c r="G4" s="1"/>
      <c r="H4" s="257" t="s">
        <v>2</v>
      </c>
      <c r="I4" s="252"/>
      <c r="J4" s="252"/>
      <c r="K4" s="252"/>
      <c r="L4" s="252"/>
      <c r="M4" s="252"/>
    </row>
    <row r="5" spans="1:13" ht="39">
      <c r="A5" s="1"/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1"/>
      <c r="H5" s="5" t="s">
        <v>8</v>
      </c>
      <c r="I5" s="5" t="s">
        <v>9</v>
      </c>
      <c r="J5" s="5" t="s">
        <v>5</v>
      </c>
      <c r="K5" s="5" t="s">
        <v>6</v>
      </c>
      <c r="L5" s="5" t="s">
        <v>7</v>
      </c>
      <c r="M5" s="5" t="s">
        <v>10</v>
      </c>
    </row>
    <row r="6" spans="1:13" ht="18.75">
      <c r="A6" s="1"/>
      <c r="B6" s="6" t="s">
        <v>11</v>
      </c>
      <c r="C6" s="7">
        <v>25</v>
      </c>
      <c r="D6" s="7">
        <v>25</v>
      </c>
      <c r="E6" s="7">
        <v>18</v>
      </c>
      <c r="F6" s="7">
        <f>C6-E6</f>
        <v>7</v>
      </c>
      <c r="G6" s="8"/>
      <c r="H6" s="6" t="s">
        <v>12</v>
      </c>
      <c r="I6" s="9">
        <v>13</v>
      </c>
      <c r="J6" s="10">
        <v>13</v>
      </c>
      <c r="K6" s="10">
        <v>12</v>
      </c>
      <c r="L6" s="10">
        <v>0</v>
      </c>
      <c r="M6" s="11">
        <f t="shared" ref="M6:M8" si="0">K6/I6</f>
        <v>0.92307692307692313</v>
      </c>
    </row>
    <row r="7" spans="1:13" ht="18.75">
      <c r="A7" s="1"/>
      <c r="B7" s="12" t="s">
        <v>13</v>
      </c>
      <c r="C7" s="13">
        <f t="shared" ref="C7:F7" si="1">SUM(C6)</f>
        <v>25</v>
      </c>
      <c r="D7" s="13">
        <f t="shared" si="1"/>
        <v>25</v>
      </c>
      <c r="E7" s="13">
        <f t="shared" si="1"/>
        <v>18</v>
      </c>
      <c r="F7" s="13">
        <f t="shared" si="1"/>
        <v>7</v>
      </c>
      <c r="G7" s="8"/>
      <c r="H7" s="6" t="s">
        <v>14</v>
      </c>
      <c r="I7" s="9">
        <v>12</v>
      </c>
      <c r="J7" s="10">
        <v>12</v>
      </c>
      <c r="K7" s="10">
        <v>12</v>
      </c>
      <c r="L7" s="10">
        <v>0</v>
      </c>
      <c r="M7" s="11">
        <f t="shared" si="0"/>
        <v>1</v>
      </c>
    </row>
    <row r="8" spans="1:13" ht="19.5">
      <c r="A8" s="1"/>
      <c r="B8" s="258" t="s">
        <v>15</v>
      </c>
      <c r="C8" s="253"/>
      <c r="D8" s="14">
        <f>IFERROR((D7/C7), "0")</f>
        <v>1</v>
      </c>
      <c r="E8" s="14">
        <f>IFERROR((E7/C7), "0")</f>
        <v>0.72</v>
      </c>
      <c r="F8" s="14">
        <f>IFERROR((F7/C7), "0")</f>
        <v>0.28000000000000003</v>
      </c>
      <c r="G8" s="8"/>
      <c r="H8" s="15" t="s">
        <v>16</v>
      </c>
      <c r="I8" s="15">
        <f t="shared" ref="I8:L8" si="2">SUM(I6:I7)</f>
        <v>25</v>
      </c>
      <c r="J8" s="16">
        <f t="shared" si="2"/>
        <v>25</v>
      </c>
      <c r="K8" s="16">
        <f t="shared" si="2"/>
        <v>24</v>
      </c>
      <c r="L8" s="16">
        <f t="shared" si="2"/>
        <v>0</v>
      </c>
      <c r="M8" s="17">
        <f t="shared" si="0"/>
        <v>0.96</v>
      </c>
    </row>
    <row r="9" spans="1:13" ht="19.5">
      <c r="A9" s="1"/>
      <c r="B9" s="4"/>
      <c r="C9" s="4"/>
      <c r="D9" s="4"/>
      <c r="E9" s="4"/>
      <c r="F9" s="4"/>
      <c r="G9" s="1"/>
      <c r="H9" s="2"/>
      <c r="I9" s="2"/>
      <c r="J9" s="18"/>
      <c r="K9" s="19"/>
      <c r="L9" s="1"/>
      <c r="M9" s="1"/>
    </row>
    <row r="10" spans="1:13">
      <c r="A10" s="1"/>
      <c r="B10" s="259" t="s">
        <v>17</v>
      </c>
      <c r="C10" s="252"/>
      <c r="D10" s="252"/>
      <c r="E10" s="252"/>
      <c r="F10" s="252"/>
      <c r="G10" s="252"/>
      <c r="H10" s="252"/>
      <c r="I10" s="252"/>
      <c r="J10" s="252"/>
      <c r="K10" s="252"/>
      <c r="L10" s="253"/>
      <c r="M10" s="1"/>
    </row>
    <row r="11" spans="1:13" ht="19.5">
      <c r="A11" s="1"/>
      <c r="B11" s="4"/>
      <c r="C11" s="4"/>
      <c r="D11" s="4"/>
      <c r="E11" s="4"/>
      <c r="F11" s="4"/>
      <c r="G11" s="4"/>
      <c r="H11" s="2"/>
      <c r="I11" s="2"/>
      <c r="J11" s="3"/>
      <c r="K11" s="1"/>
      <c r="L11" s="1"/>
      <c r="M11" s="1"/>
    </row>
    <row r="12" spans="1:13" ht="24" customHeight="1">
      <c r="A12" s="1"/>
      <c r="B12" s="260" t="s">
        <v>18</v>
      </c>
      <c r="C12" s="252"/>
      <c r="D12" s="252"/>
      <c r="E12" s="252"/>
      <c r="F12" s="253"/>
      <c r="G12" s="1"/>
      <c r="H12" s="260" t="s">
        <v>19</v>
      </c>
      <c r="I12" s="252"/>
      <c r="J12" s="252"/>
      <c r="K12" s="252"/>
      <c r="L12" s="253"/>
      <c r="M12" s="1"/>
    </row>
    <row r="13" spans="1:13" ht="39">
      <c r="A13" s="1"/>
      <c r="B13" s="20" t="s">
        <v>20</v>
      </c>
      <c r="C13" s="20" t="s">
        <v>21</v>
      </c>
      <c r="D13" s="20" t="s">
        <v>22</v>
      </c>
      <c r="E13" s="20" t="s">
        <v>23</v>
      </c>
      <c r="F13" s="20" t="s">
        <v>24</v>
      </c>
      <c r="G13" s="21"/>
      <c r="H13" s="22" t="s">
        <v>3</v>
      </c>
      <c r="I13" s="22" t="s">
        <v>23</v>
      </c>
      <c r="J13" s="22" t="s">
        <v>25</v>
      </c>
      <c r="K13" s="22" t="s">
        <v>26</v>
      </c>
      <c r="L13" s="22" t="s">
        <v>27</v>
      </c>
      <c r="M13" s="1"/>
    </row>
    <row r="14" spans="1:13" ht="19.5">
      <c r="A14" s="1"/>
      <c r="B14" s="23" t="s">
        <v>28</v>
      </c>
      <c r="C14" s="24" t="s">
        <v>29</v>
      </c>
      <c r="D14" s="25" t="s">
        <v>30</v>
      </c>
      <c r="E14" s="26" t="s">
        <v>31</v>
      </c>
      <c r="F14" s="26"/>
      <c r="G14" s="21"/>
      <c r="H14" s="27" t="s">
        <v>32</v>
      </c>
      <c r="I14" s="27" t="s">
        <v>33</v>
      </c>
      <c r="J14" s="27" t="s">
        <v>34</v>
      </c>
      <c r="K14" s="27">
        <v>25</v>
      </c>
      <c r="L14" s="27">
        <v>23</v>
      </c>
      <c r="M14" s="1"/>
    </row>
    <row r="15" spans="1:13" ht="19.5">
      <c r="A15" s="1"/>
      <c r="B15" s="23" t="s">
        <v>28</v>
      </c>
      <c r="C15" s="24" t="s">
        <v>35</v>
      </c>
      <c r="D15" s="24" t="s">
        <v>36</v>
      </c>
      <c r="E15" s="28" t="s">
        <v>37</v>
      </c>
      <c r="F15" s="28"/>
      <c r="G15" s="1"/>
      <c r="H15" s="251"/>
      <c r="I15" s="252"/>
      <c r="J15" s="253"/>
      <c r="K15" s="29"/>
      <c r="L15" s="29"/>
      <c r="M15" s="1"/>
    </row>
    <row r="16" spans="1:13" ht="19.5">
      <c r="A16" s="1"/>
      <c r="B16" s="28" t="s">
        <v>38</v>
      </c>
      <c r="C16" s="30" t="s">
        <v>39</v>
      </c>
      <c r="D16" s="31" t="s">
        <v>40</v>
      </c>
      <c r="E16" s="32" t="s">
        <v>41</v>
      </c>
      <c r="F16" s="32"/>
      <c r="G16" s="1"/>
      <c r="J16" s="33"/>
      <c r="K16" s="33"/>
      <c r="L16" s="33"/>
      <c r="M16" s="1"/>
    </row>
    <row r="17" spans="1:13" ht="19.5">
      <c r="A17" s="1"/>
      <c r="B17" s="28" t="s">
        <v>38</v>
      </c>
      <c r="C17" s="30" t="s">
        <v>42</v>
      </c>
      <c r="D17" s="31" t="s">
        <v>43</v>
      </c>
      <c r="E17" s="32" t="s">
        <v>44</v>
      </c>
      <c r="F17" s="32"/>
      <c r="G17" s="1"/>
      <c r="J17" s="33"/>
      <c r="K17" s="33"/>
      <c r="L17" s="33"/>
      <c r="M17" s="1"/>
    </row>
    <row r="18" spans="1:13" ht="19.5">
      <c r="A18" s="1"/>
      <c r="B18" s="28" t="s">
        <v>38</v>
      </c>
      <c r="C18" s="34" t="s">
        <v>45</v>
      </c>
      <c r="D18" s="34" t="s">
        <v>46</v>
      </c>
      <c r="E18" s="35" t="s">
        <v>47</v>
      </c>
      <c r="F18" s="35"/>
      <c r="G18" s="1"/>
      <c r="H18" s="33"/>
      <c r="I18" s="33"/>
      <c r="J18" s="33"/>
      <c r="K18" s="33"/>
      <c r="L18" s="33"/>
      <c r="M18" s="1"/>
    </row>
    <row r="19" spans="1:13" ht="15.75" customHeight="1">
      <c r="A19" s="1"/>
      <c r="B19" s="36"/>
      <c r="C19" s="37"/>
      <c r="D19" s="37"/>
      <c r="E19" s="37"/>
      <c r="F19" s="37"/>
      <c r="G19" s="1"/>
      <c r="H19" s="33"/>
      <c r="I19" s="33"/>
      <c r="J19" s="33"/>
      <c r="K19" s="33"/>
      <c r="L19" s="33"/>
      <c r="M19" s="1"/>
    </row>
    <row r="20" spans="1:13" ht="16.5" customHeight="1">
      <c r="A20" s="1"/>
      <c r="B20" s="36"/>
      <c r="C20" s="37"/>
      <c r="D20" s="37"/>
      <c r="E20" s="37"/>
      <c r="F20" s="37"/>
      <c r="G20" s="1"/>
      <c r="H20" s="33"/>
      <c r="I20" s="33"/>
      <c r="J20" s="38"/>
      <c r="K20" s="39"/>
      <c r="L20" s="39"/>
      <c r="M20" s="1"/>
    </row>
    <row r="21" spans="1:13" ht="18.75">
      <c r="A21" s="40"/>
      <c r="B21" s="36"/>
      <c r="C21" s="37"/>
      <c r="D21" s="36"/>
      <c r="E21" s="36"/>
      <c r="F21" s="36"/>
      <c r="G21" s="1"/>
      <c r="H21" s="41"/>
      <c r="I21" s="41"/>
      <c r="J21" s="41"/>
      <c r="K21" s="41"/>
      <c r="L21" s="41"/>
      <c r="M21" s="1"/>
    </row>
    <row r="22" spans="1:13" ht="15" customHeight="1">
      <c r="A22" s="40"/>
      <c r="B22" s="36"/>
      <c r="C22" s="37"/>
      <c r="D22" s="37"/>
      <c r="E22" s="36"/>
      <c r="F22" s="36"/>
      <c r="G22" s="1"/>
      <c r="H22" s="254"/>
      <c r="I22" s="255"/>
      <c r="J22" s="255"/>
      <c r="K22" s="41"/>
      <c r="L22" s="41"/>
      <c r="M22" s="1"/>
    </row>
    <row r="23" spans="1:13" ht="15" customHeight="1">
      <c r="A23" s="40"/>
      <c r="B23" s="36"/>
      <c r="C23" s="37"/>
      <c r="D23" s="37"/>
      <c r="E23" s="37"/>
      <c r="F23" s="36"/>
      <c r="G23" s="1"/>
      <c r="H23" s="42"/>
      <c r="I23" s="42"/>
      <c r="J23" s="42"/>
      <c r="K23" s="41"/>
      <c r="L23" s="41"/>
      <c r="M23" s="1"/>
    </row>
    <row r="24" spans="1:13" ht="15" customHeight="1">
      <c r="A24" s="40"/>
      <c r="B24" s="36"/>
      <c r="C24" s="36"/>
      <c r="D24" s="36"/>
      <c r="E24" s="36"/>
      <c r="F24" s="36"/>
      <c r="G24" s="43"/>
      <c r="H24" s="44"/>
      <c r="I24" s="45"/>
      <c r="J24" s="46"/>
      <c r="K24" s="41"/>
      <c r="L24" s="41"/>
      <c r="M24" s="1"/>
    </row>
    <row r="25" spans="1:13" ht="15" customHeight="1">
      <c r="A25" s="40"/>
      <c r="B25" s="36"/>
      <c r="C25" s="36"/>
      <c r="D25" s="36"/>
      <c r="E25" s="36"/>
      <c r="F25" s="36"/>
      <c r="G25" s="1"/>
      <c r="H25" s="44"/>
      <c r="I25" s="45"/>
      <c r="J25" s="46"/>
      <c r="K25" s="41"/>
      <c r="L25" s="41"/>
      <c r="M25" s="1"/>
    </row>
    <row r="26" spans="1:13" ht="15" customHeight="1">
      <c r="A26" s="40"/>
      <c r="B26" s="36"/>
      <c r="C26" s="36"/>
      <c r="D26" s="36"/>
      <c r="E26" s="36"/>
      <c r="F26" s="36"/>
      <c r="G26" s="1"/>
      <c r="H26" s="44"/>
      <c r="I26" s="45"/>
      <c r="J26" s="46"/>
      <c r="K26" s="41"/>
      <c r="L26" s="41"/>
      <c r="M26" s="1"/>
    </row>
    <row r="27" spans="1:13" ht="15" customHeight="1">
      <c r="A27" s="40"/>
      <c r="B27" s="36"/>
      <c r="C27" s="36"/>
      <c r="D27" s="36"/>
      <c r="E27" s="36"/>
      <c r="F27" s="36"/>
      <c r="G27" s="1"/>
      <c r="H27" s="44"/>
      <c r="I27" s="45"/>
      <c r="J27" s="46"/>
      <c r="K27" s="41"/>
      <c r="L27" s="41"/>
      <c r="M27" s="1"/>
    </row>
    <row r="28" spans="1:13" ht="15" customHeight="1">
      <c r="A28" s="40"/>
      <c r="B28" s="36"/>
      <c r="C28" s="36"/>
      <c r="D28" s="36"/>
      <c r="E28" s="36"/>
      <c r="F28" s="36"/>
      <c r="G28" s="1"/>
      <c r="H28" s="41"/>
      <c r="I28" s="41"/>
      <c r="J28" s="41"/>
      <c r="K28" s="41"/>
      <c r="L28" s="41"/>
      <c r="M28" s="1"/>
    </row>
    <row r="29" spans="1:13" ht="15" customHeight="1">
      <c r="A29" s="40"/>
      <c r="B29" s="33"/>
      <c r="C29" s="33"/>
      <c r="D29" s="33"/>
      <c r="E29" s="33"/>
      <c r="F29" s="33"/>
      <c r="G29" s="1"/>
      <c r="H29" s="41"/>
      <c r="I29" s="41"/>
      <c r="J29" s="41"/>
      <c r="K29" s="41"/>
      <c r="L29" s="41"/>
      <c r="M29" s="1"/>
    </row>
    <row r="30" spans="1:13" ht="15" customHeight="1">
      <c r="A30" s="40"/>
      <c r="B30" s="33"/>
      <c r="C30" s="33"/>
      <c r="D30" s="33"/>
      <c r="E30" s="33"/>
      <c r="F30" s="33"/>
      <c r="G30" s="1"/>
      <c r="H30" s="41"/>
      <c r="I30" s="41"/>
      <c r="J30" s="41"/>
      <c r="K30" s="41"/>
      <c r="L30" s="41"/>
      <c r="M30" s="1"/>
    </row>
    <row r="31" spans="1:13" ht="15" customHeight="1">
      <c r="A31" s="40"/>
      <c r="B31" s="33"/>
      <c r="C31" s="33"/>
      <c r="D31" s="33"/>
      <c r="E31" s="33"/>
      <c r="F31" s="33"/>
      <c r="G31" s="1"/>
      <c r="H31" s="41"/>
      <c r="I31" s="41"/>
      <c r="J31" s="41"/>
      <c r="K31" s="41"/>
      <c r="L31" s="41"/>
      <c r="M31" s="1"/>
    </row>
    <row r="32" spans="1:13" ht="15" customHeight="1">
      <c r="A32" s="40"/>
      <c r="B32" s="41"/>
      <c r="C32" s="41"/>
      <c r="D32" s="45"/>
      <c r="E32" s="45"/>
      <c r="F32" s="45"/>
      <c r="G32" s="1"/>
      <c r="H32" s="47"/>
      <c r="I32" s="41"/>
      <c r="J32" s="41"/>
      <c r="K32" s="41"/>
      <c r="L32" s="41"/>
      <c r="M32" s="1"/>
    </row>
    <row r="33" spans="1:13" ht="15" customHeight="1">
      <c r="A33" s="40"/>
      <c r="B33" s="41"/>
      <c r="C33" s="41"/>
      <c r="D33" s="45"/>
      <c r="E33" s="45"/>
      <c r="F33" s="45"/>
      <c r="G33" s="1"/>
      <c r="H33" s="41"/>
      <c r="I33" s="41"/>
      <c r="J33" s="41"/>
      <c r="K33" s="41"/>
      <c r="L33" s="41"/>
      <c r="M33" s="1"/>
    </row>
    <row r="34" spans="1:13" ht="15" customHeight="1">
      <c r="A34" s="40"/>
      <c r="B34" s="41"/>
      <c r="C34" s="41"/>
      <c r="D34" s="45"/>
      <c r="E34" s="45"/>
      <c r="F34" s="45"/>
      <c r="G34" s="1"/>
      <c r="H34" s="41"/>
      <c r="I34" s="41"/>
      <c r="J34" s="41"/>
      <c r="K34" s="41"/>
      <c r="L34" s="41"/>
      <c r="M34" s="1"/>
    </row>
    <row r="35" spans="1:13" ht="15" customHeight="1">
      <c r="A35" s="40"/>
      <c r="G35" s="1"/>
      <c r="H35" s="41"/>
      <c r="I35" s="41"/>
      <c r="J35" s="41"/>
      <c r="K35" s="41"/>
      <c r="L35" s="41"/>
      <c r="M35" s="1"/>
    </row>
  </sheetData>
  <mergeCells count="9">
    <mergeCell ref="H15:J15"/>
    <mergeCell ref="H22:J22"/>
    <mergeCell ref="B2:F2"/>
    <mergeCell ref="B4:F4"/>
    <mergeCell ref="H4:M4"/>
    <mergeCell ref="B8:C8"/>
    <mergeCell ref="B10:L10"/>
    <mergeCell ref="B12:F12"/>
    <mergeCell ref="H12:L12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R31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2.85546875" customWidth="1"/>
    <col min="2" max="2" width="13.28515625" customWidth="1"/>
    <col min="3" max="5" width="13.28515625" hidden="1" customWidth="1"/>
    <col min="6" max="6" width="21.7109375" customWidth="1"/>
    <col min="7" max="7" width="10.42578125" customWidth="1"/>
    <col min="8" max="8" width="12.42578125" customWidth="1"/>
    <col min="9" max="9" width="23" customWidth="1"/>
    <col min="10" max="10" width="28.140625" customWidth="1"/>
    <col min="11" max="11" width="18" customWidth="1"/>
    <col min="12" max="12" width="8.85546875" customWidth="1"/>
    <col min="14" max="14" width="14.5703125" customWidth="1"/>
    <col min="15" max="15" width="15.85546875" customWidth="1"/>
    <col min="16" max="16" width="34.42578125" customWidth="1"/>
    <col min="17" max="17" width="40.85546875" customWidth="1"/>
    <col min="18" max="18" width="2.85546875" customWidth="1"/>
  </cols>
  <sheetData>
    <row r="1" spans="1:18" ht="19.5" customHeight="1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ht="36.75" customHeight="1">
      <c r="A2" s="50"/>
      <c r="B2" s="261" t="s">
        <v>48</v>
      </c>
      <c r="C2" s="252"/>
      <c r="D2" s="252"/>
      <c r="E2" s="252"/>
      <c r="F2" s="252"/>
      <c r="G2" s="252"/>
      <c r="H2" s="252"/>
      <c r="I2" s="252"/>
      <c r="J2" s="252"/>
      <c r="K2" s="51"/>
      <c r="L2" s="51"/>
      <c r="M2" s="51"/>
      <c r="N2" s="51"/>
      <c r="O2" s="51"/>
      <c r="P2" s="52"/>
      <c r="Q2" s="53"/>
      <c r="R2" s="49"/>
    </row>
    <row r="3" spans="1:18" ht="65.25">
      <c r="A3" s="54"/>
      <c r="B3" s="55" t="s">
        <v>9</v>
      </c>
      <c r="C3" s="55" t="s">
        <v>49</v>
      </c>
      <c r="D3" s="55" t="s">
        <v>50</v>
      </c>
      <c r="E3" s="55" t="s">
        <v>51</v>
      </c>
      <c r="F3" s="55" t="s">
        <v>52</v>
      </c>
      <c r="G3" s="56" t="s">
        <v>53</v>
      </c>
      <c r="H3" s="56" t="s">
        <v>54</v>
      </c>
      <c r="I3" s="56" t="s">
        <v>55</v>
      </c>
      <c r="J3" s="56" t="s">
        <v>56</v>
      </c>
      <c r="K3" s="56" t="s">
        <v>57</v>
      </c>
      <c r="L3" s="56" t="s">
        <v>58</v>
      </c>
      <c r="M3" s="56" t="s">
        <v>59</v>
      </c>
      <c r="N3" s="55" t="s">
        <v>60</v>
      </c>
      <c r="O3" s="56" t="s">
        <v>61</v>
      </c>
      <c r="P3" s="56" t="s">
        <v>62</v>
      </c>
      <c r="Q3" s="56" t="s">
        <v>63</v>
      </c>
      <c r="R3" s="57"/>
    </row>
    <row r="4" spans="1:18" ht="18.75" customHeight="1">
      <c r="A4" s="58"/>
      <c r="B4" s="262" t="s">
        <v>64</v>
      </c>
      <c r="C4" s="255"/>
      <c r="D4" s="255"/>
      <c r="E4" s="255"/>
      <c r="F4" s="255"/>
      <c r="G4" s="59"/>
      <c r="H4" s="60"/>
      <c r="I4" s="60"/>
      <c r="J4" s="60"/>
      <c r="K4" s="60"/>
      <c r="L4" s="60"/>
      <c r="M4" s="60"/>
      <c r="N4" s="60"/>
      <c r="O4" s="60"/>
      <c r="P4" s="60"/>
      <c r="Q4" s="60"/>
      <c r="R4" s="58"/>
    </row>
    <row r="5" spans="1:18" ht="33.75" customHeight="1">
      <c r="A5" s="61"/>
      <c r="B5" s="263" t="s">
        <v>65</v>
      </c>
      <c r="C5" s="252"/>
      <c r="D5" s="252"/>
      <c r="E5" s="252"/>
      <c r="F5" s="253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58"/>
    </row>
    <row r="6" spans="1:18" ht="19.5">
      <c r="A6" s="63"/>
      <c r="B6" s="64">
        <v>1</v>
      </c>
      <c r="C6" s="65"/>
      <c r="D6" s="65"/>
      <c r="E6" s="65"/>
      <c r="F6" s="66">
        <v>207293838</v>
      </c>
      <c r="G6" s="23" t="s">
        <v>34</v>
      </c>
      <c r="H6" s="67" t="s">
        <v>12</v>
      </c>
      <c r="I6" s="23" t="s">
        <v>66</v>
      </c>
      <c r="J6" s="68" t="s">
        <v>67</v>
      </c>
      <c r="K6" s="23" t="s">
        <v>68</v>
      </c>
      <c r="L6" s="23" t="s">
        <v>69</v>
      </c>
      <c r="M6" s="23">
        <v>60647</v>
      </c>
      <c r="N6" s="23" t="s">
        <v>70</v>
      </c>
      <c r="O6" s="23" t="s">
        <v>71</v>
      </c>
      <c r="P6" s="35" t="s">
        <v>72</v>
      </c>
      <c r="Q6" s="35" t="s">
        <v>73</v>
      </c>
      <c r="R6" s="58"/>
    </row>
    <row r="7" spans="1:18" ht="19.5">
      <c r="A7" s="61"/>
      <c r="B7" s="67">
        <v>1</v>
      </c>
      <c r="C7" s="67"/>
      <c r="D7" s="67"/>
      <c r="E7" s="67"/>
      <c r="F7" s="66">
        <v>105013778</v>
      </c>
      <c r="G7" s="67" t="s">
        <v>34</v>
      </c>
      <c r="H7" s="23" t="s">
        <v>12</v>
      </c>
      <c r="I7" s="23" t="s">
        <v>74</v>
      </c>
      <c r="J7" s="69" t="s">
        <v>75</v>
      </c>
      <c r="K7" s="23" t="s">
        <v>68</v>
      </c>
      <c r="L7" s="23" t="s">
        <v>69</v>
      </c>
      <c r="M7" s="23">
        <v>60645</v>
      </c>
      <c r="N7" s="67" t="s">
        <v>76</v>
      </c>
      <c r="O7" s="67" t="s">
        <v>77</v>
      </c>
      <c r="P7" s="67"/>
      <c r="Q7" s="67"/>
      <c r="R7" s="61"/>
    </row>
    <row r="8" spans="1:18" ht="19.5">
      <c r="A8" s="61"/>
      <c r="B8" s="64">
        <v>1</v>
      </c>
      <c r="C8" s="64"/>
      <c r="D8" s="64"/>
      <c r="E8" s="64"/>
      <c r="F8" s="66">
        <v>205008277</v>
      </c>
      <c r="G8" s="67" t="s">
        <v>34</v>
      </c>
      <c r="H8" s="67" t="s">
        <v>12</v>
      </c>
      <c r="I8" s="67" t="s">
        <v>78</v>
      </c>
      <c r="J8" s="70" t="s">
        <v>79</v>
      </c>
      <c r="K8" s="67" t="s">
        <v>68</v>
      </c>
      <c r="L8" s="67" t="s">
        <v>69</v>
      </c>
      <c r="M8" s="67">
        <v>60610</v>
      </c>
      <c r="N8" s="67" t="s">
        <v>80</v>
      </c>
      <c r="O8" s="67" t="s">
        <v>81</v>
      </c>
      <c r="P8" s="64"/>
      <c r="Q8" s="64"/>
      <c r="R8" s="58"/>
    </row>
    <row r="9" spans="1:18" ht="19.5">
      <c r="A9" s="61"/>
      <c r="B9" s="67">
        <v>1</v>
      </c>
      <c r="C9" s="67"/>
      <c r="D9" s="67"/>
      <c r="E9" s="67"/>
      <c r="F9" s="66">
        <v>205024479</v>
      </c>
      <c r="G9" s="67" t="s">
        <v>34</v>
      </c>
      <c r="H9" s="67" t="s">
        <v>12</v>
      </c>
      <c r="I9" s="67" t="s">
        <v>82</v>
      </c>
      <c r="J9" s="69" t="s">
        <v>83</v>
      </c>
      <c r="K9" s="67" t="s">
        <v>68</v>
      </c>
      <c r="L9" s="67" t="s">
        <v>69</v>
      </c>
      <c r="M9" s="67">
        <v>60614</v>
      </c>
      <c r="N9" s="67" t="s">
        <v>84</v>
      </c>
      <c r="O9" s="67" t="s">
        <v>85</v>
      </c>
      <c r="P9" s="67"/>
      <c r="Q9" s="67" t="s">
        <v>86</v>
      </c>
      <c r="R9" s="61"/>
    </row>
    <row r="10" spans="1:18" ht="19.5">
      <c r="A10" s="61"/>
      <c r="B10" s="67">
        <v>1</v>
      </c>
      <c r="C10" s="67"/>
      <c r="D10" s="67"/>
      <c r="E10" s="67"/>
      <c r="F10" s="66">
        <v>105000143</v>
      </c>
      <c r="G10" s="67" t="s">
        <v>34</v>
      </c>
      <c r="H10" s="23" t="s">
        <v>12</v>
      </c>
      <c r="I10" s="23" t="s">
        <v>87</v>
      </c>
      <c r="J10" s="71" t="s">
        <v>88</v>
      </c>
      <c r="K10" s="23" t="s">
        <v>68</v>
      </c>
      <c r="L10" s="23" t="s">
        <v>69</v>
      </c>
      <c r="M10" s="23">
        <v>60610</v>
      </c>
      <c r="N10" s="67" t="s">
        <v>89</v>
      </c>
      <c r="O10" s="67" t="s">
        <v>90</v>
      </c>
      <c r="P10" s="67"/>
      <c r="Q10" s="67"/>
      <c r="R10" s="61"/>
    </row>
    <row r="11" spans="1:18" ht="19.5">
      <c r="A11" s="61"/>
      <c r="B11" s="67">
        <v>1</v>
      </c>
      <c r="C11" s="67"/>
      <c r="D11" s="67"/>
      <c r="E11" s="67"/>
      <c r="F11" s="66">
        <v>305000268</v>
      </c>
      <c r="G11" s="67" t="s">
        <v>34</v>
      </c>
      <c r="H11" s="67" t="s">
        <v>12</v>
      </c>
      <c r="I11" s="67" t="s">
        <v>91</v>
      </c>
      <c r="J11" s="71" t="s">
        <v>92</v>
      </c>
      <c r="K11" s="67" t="s">
        <v>93</v>
      </c>
      <c r="L11" s="67" t="s">
        <v>69</v>
      </c>
      <c r="M11" s="67">
        <v>60176</v>
      </c>
      <c r="N11" s="72" t="s">
        <v>94</v>
      </c>
      <c r="O11" s="72" t="s">
        <v>95</v>
      </c>
      <c r="P11" s="72" t="s">
        <v>96</v>
      </c>
      <c r="Q11" s="72"/>
      <c r="R11" s="61"/>
    </row>
    <row r="12" spans="1:18" ht="19.5">
      <c r="A12" s="61"/>
      <c r="B12" s="67">
        <v>1</v>
      </c>
      <c r="C12" s="67"/>
      <c r="D12" s="67"/>
      <c r="E12" s="67"/>
      <c r="F12" s="66">
        <v>305008581</v>
      </c>
      <c r="G12" s="67" t="s">
        <v>34</v>
      </c>
      <c r="H12" s="67" t="s">
        <v>12</v>
      </c>
      <c r="I12" s="23" t="s">
        <v>97</v>
      </c>
      <c r="J12" s="71" t="s">
        <v>98</v>
      </c>
      <c r="K12" s="23" t="s">
        <v>68</v>
      </c>
      <c r="L12" s="23" t="s">
        <v>69</v>
      </c>
      <c r="M12" s="23">
        <v>60614</v>
      </c>
      <c r="N12" s="67" t="s">
        <v>99</v>
      </c>
      <c r="O12" s="67" t="s">
        <v>100</v>
      </c>
      <c r="P12" s="67" t="s">
        <v>101</v>
      </c>
      <c r="Q12" s="67"/>
      <c r="R12" s="61"/>
    </row>
    <row r="13" spans="1:18" ht="19.5">
      <c r="A13" s="61"/>
      <c r="B13" s="67">
        <v>1</v>
      </c>
      <c r="C13" s="67"/>
      <c r="D13" s="67"/>
      <c r="E13" s="67"/>
      <c r="F13" s="66">
        <v>205013375</v>
      </c>
      <c r="G13" s="67" t="s">
        <v>34</v>
      </c>
      <c r="H13" s="67" t="s">
        <v>12</v>
      </c>
      <c r="I13" s="67" t="s">
        <v>102</v>
      </c>
      <c r="J13" s="71" t="s">
        <v>103</v>
      </c>
      <c r="K13" s="67" t="s">
        <v>68</v>
      </c>
      <c r="L13" s="67" t="s">
        <v>69</v>
      </c>
      <c r="M13" s="67">
        <v>60618</v>
      </c>
      <c r="N13" s="67" t="s">
        <v>104</v>
      </c>
      <c r="O13" s="67" t="s">
        <v>105</v>
      </c>
      <c r="P13" s="67"/>
      <c r="Q13" s="67"/>
      <c r="R13" s="61"/>
    </row>
    <row r="14" spans="1:18" ht="19.5">
      <c r="A14" s="61"/>
      <c r="B14" s="67">
        <v>1</v>
      </c>
      <c r="C14" s="67"/>
      <c r="D14" s="67"/>
      <c r="E14" s="67"/>
      <c r="F14" s="66">
        <v>105057130</v>
      </c>
      <c r="G14" s="67" t="s">
        <v>34</v>
      </c>
      <c r="H14" s="23" t="s">
        <v>12</v>
      </c>
      <c r="I14" s="23" t="s">
        <v>106</v>
      </c>
      <c r="J14" s="71" t="s">
        <v>107</v>
      </c>
      <c r="K14" s="23" t="s">
        <v>108</v>
      </c>
      <c r="L14" s="23" t="s">
        <v>69</v>
      </c>
      <c r="M14" s="23">
        <v>60714</v>
      </c>
      <c r="N14" s="67" t="s">
        <v>109</v>
      </c>
      <c r="O14" s="67" t="s">
        <v>110</v>
      </c>
      <c r="P14" s="67"/>
      <c r="Q14" s="67"/>
      <c r="R14" s="61"/>
    </row>
    <row r="15" spans="1:18" ht="19.5">
      <c r="A15" s="61"/>
      <c r="B15" s="67">
        <v>1</v>
      </c>
      <c r="C15" s="67"/>
      <c r="D15" s="67"/>
      <c r="E15" s="67"/>
      <c r="F15" s="66">
        <v>103669659</v>
      </c>
      <c r="G15" s="67" t="s">
        <v>34</v>
      </c>
      <c r="H15" s="67" t="s">
        <v>12</v>
      </c>
      <c r="I15" s="67" t="s">
        <v>111</v>
      </c>
      <c r="J15" s="69" t="s">
        <v>112</v>
      </c>
      <c r="K15" s="67" t="s">
        <v>68</v>
      </c>
      <c r="L15" s="67" t="s">
        <v>69</v>
      </c>
      <c r="M15" s="67">
        <v>60645</v>
      </c>
      <c r="N15" s="67" t="s">
        <v>113</v>
      </c>
      <c r="O15" s="67" t="s">
        <v>114</v>
      </c>
      <c r="P15" s="67"/>
      <c r="Q15" s="67"/>
      <c r="R15" s="61"/>
    </row>
    <row r="16" spans="1:18" ht="19.5">
      <c r="A16" s="61"/>
      <c r="B16" s="67">
        <v>1</v>
      </c>
      <c r="C16" s="67"/>
      <c r="D16" s="67"/>
      <c r="E16" s="67"/>
      <c r="F16" s="66">
        <v>105008234</v>
      </c>
      <c r="G16" s="67" t="s">
        <v>34</v>
      </c>
      <c r="H16" s="67" t="s">
        <v>12</v>
      </c>
      <c r="I16" s="67" t="s">
        <v>115</v>
      </c>
      <c r="J16" s="71" t="s">
        <v>116</v>
      </c>
      <c r="K16" s="67" t="s">
        <v>68</v>
      </c>
      <c r="L16" s="67" t="s">
        <v>69</v>
      </c>
      <c r="M16" s="67">
        <v>60614</v>
      </c>
      <c r="N16" s="67" t="s">
        <v>117</v>
      </c>
      <c r="O16" s="67" t="s">
        <v>118</v>
      </c>
      <c r="P16" s="67" t="s">
        <v>119</v>
      </c>
      <c r="Q16" s="67"/>
      <c r="R16" s="61"/>
    </row>
    <row r="17" spans="1:18" ht="19.5">
      <c r="A17" s="61"/>
      <c r="B17" s="67">
        <v>1</v>
      </c>
      <c r="C17" s="67"/>
      <c r="D17" s="67"/>
      <c r="E17" s="67"/>
      <c r="F17" s="66">
        <v>205008348</v>
      </c>
      <c r="G17" s="67" t="s">
        <v>34</v>
      </c>
      <c r="H17" s="67" t="s">
        <v>120</v>
      </c>
      <c r="I17" s="67" t="s">
        <v>121</v>
      </c>
      <c r="J17" s="71" t="s">
        <v>122</v>
      </c>
      <c r="K17" s="67" t="s">
        <v>68</v>
      </c>
      <c r="L17" s="67" t="s">
        <v>69</v>
      </c>
      <c r="M17" s="67">
        <v>60622</v>
      </c>
      <c r="N17" s="67" t="s">
        <v>123</v>
      </c>
      <c r="O17" s="67" t="s">
        <v>124</v>
      </c>
      <c r="P17" s="67" t="s">
        <v>125</v>
      </c>
      <c r="Q17" s="67"/>
      <c r="R17" s="61"/>
    </row>
    <row r="18" spans="1:18" ht="19.5">
      <c r="A18" s="63"/>
      <c r="B18" s="64">
        <v>1</v>
      </c>
      <c r="C18" s="65"/>
      <c r="D18" s="65"/>
      <c r="E18" s="65"/>
      <c r="F18" s="66">
        <v>105029203</v>
      </c>
      <c r="G18" s="23" t="s">
        <v>34</v>
      </c>
      <c r="H18" s="23" t="s">
        <v>12</v>
      </c>
      <c r="I18" s="23" t="s">
        <v>126</v>
      </c>
      <c r="J18" s="68" t="s">
        <v>127</v>
      </c>
      <c r="K18" s="23" t="s">
        <v>128</v>
      </c>
      <c r="L18" s="23" t="s">
        <v>69</v>
      </c>
      <c r="M18" s="23">
        <v>60018</v>
      </c>
      <c r="N18" s="23" t="s">
        <v>129</v>
      </c>
      <c r="O18" s="23" t="s">
        <v>130</v>
      </c>
      <c r="P18" s="35" t="s">
        <v>131</v>
      </c>
      <c r="Q18" s="35"/>
      <c r="R18" s="58"/>
    </row>
    <row r="19" spans="1:18" ht="19.5">
      <c r="A19" s="61"/>
      <c r="B19" s="67">
        <v>1</v>
      </c>
      <c r="C19" s="67"/>
      <c r="D19" s="67"/>
      <c r="E19" s="67"/>
      <c r="F19" s="66">
        <v>105019746</v>
      </c>
      <c r="G19" s="67" t="s">
        <v>34</v>
      </c>
      <c r="H19" s="67" t="s">
        <v>132</v>
      </c>
      <c r="I19" s="67" t="s">
        <v>133</v>
      </c>
      <c r="J19" s="71" t="s">
        <v>134</v>
      </c>
      <c r="K19" s="67" t="s">
        <v>68</v>
      </c>
      <c r="L19" s="23" t="s">
        <v>69</v>
      </c>
      <c r="M19" s="67">
        <v>60657</v>
      </c>
      <c r="N19" s="67" t="s">
        <v>135</v>
      </c>
      <c r="O19" s="67" t="s">
        <v>136</v>
      </c>
      <c r="P19" s="67" t="s">
        <v>137</v>
      </c>
      <c r="Q19" s="67" t="s">
        <v>138</v>
      </c>
      <c r="R19" s="61"/>
    </row>
    <row r="20" spans="1:18" ht="19.5">
      <c r="A20" s="61"/>
      <c r="B20" s="67">
        <v>1</v>
      </c>
      <c r="C20" s="67"/>
      <c r="D20" s="67"/>
      <c r="E20" s="67"/>
      <c r="F20" s="66">
        <v>102625423</v>
      </c>
      <c r="G20" s="67" t="s">
        <v>34</v>
      </c>
      <c r="H20" s="67" t="s">
        <v>14</v>
      </c>
      <c r="I20" s="67" t="s">
        <v>139</v>
      </c>
      <c r="J20" s="69" t="s">
        <v>140</v>
      </c>
      <c r="K20" s="67" t="s">
        <v>68</v>
      </c>
      <c r="L20" s="67" t="s">
        <v>69</v>
      </c>
      <c r="M20" s="67">
        <v>60608</v>
      </c>
      <c r="N20" s="67" t="s">
        <v>141</v>
      </c>
      <c r="O20" s="67" t="s">
        <v>142</v>
      </c>
      <c r="P20" s="67" t="s">
        <v>143</v>
      </c>
      <c r="Q20" s="67"/>
      <c r="R20" s="61"/>
    </row>
    <row r="21" spans="1:18" ht="19.5">
      <c r="A21" s="61"/>
      <c r="B21" s="67">
        <v>1</v>
      </c>
      <c r="C21" s="67"/>
      <c r="D21" s="67"/>
      <c r="E21" s="67"/>
      <c r="F21" s="66">
        <v>105024494</v>
      </c>
      <c r="G21" s="67" t="s">
        <v>34</v>
      </c>
      <c r="H21" s="67" t="s">
        <v>14</v>
      </c>
      <c r="I21" s="67" t="s">
        <v>144</v>
      </c>
      <c r="J21" s="68" t="s">
        <v>145</v>
      </c>
      <c r="K21" s="67" t="s">
        <v>68</v>
      </c>
      <c r="L21" s="67" t="s">
        <v>69</v>
      </c>
      <c r="M21" s="67">
        <v>60622</v>
      </c>
      <c r="N21" s="67" t="s">
        <v>146</v>
      </c>
      <c r="O21" s="67" t="s">
        <v>147</v>
      </c>
      <c r="P21" s="67" t="s">
        <v>148</v>
      </c>
      <c r="Q21" s="67" t="s">
        <v>138</v>
      </c>
      <c r="R21" s="61"/>
    </row>
    <row r="22" spans="1:18" ht="19.5">
      <c r="A22" s="61"/>
      <c r="B22" s="67">
        <v>1</v>
      </c>
      <c r="C22" s="67"/>
      <c r="D22" s="67"/>
      <c r="E22" s="67"/>
      <c r="F22" s="66">
        <v>105025329</v>
      </c>
      <c r="G22" s="67" t="s">
        <v>34</v>
      </c>
      <c r="H22" s="67" t="s">
        <v>14</v>
      </c>
      <c r="I22" s="67" t="s">
        <v>149</v>
      </c>
      <c r="J22" s="73" t="s">
        <v>150</v>
      </c>
      <c r="K22" s="67" t="s">
        <v>68</v>
      </c>
      <c r="L22" s="67" t="s">
        <v>69</v>
      </c>
      <c r="M22" s="67">
        <v>60654</v>
      </c>
      <c r="N22" s="67" t="s">
        <v>151</v>
      </c>
      <c r="O22" s="67" t="s">
        <v>152</v>
      </c>
      <c r="P22" s="67"/>
      <c r="Q22" s="67"/>
      <c r="R22" s="61"/>
    </row>
    <row r="23" spans="1:18" ht="19.5">
      <c r="A23" s="63"/>
      <c r="B23" s="64">
        <v>1</v>
      </c>
      <c r="C23" s="65"/>
      <c r="D23" s="65"/>
      <c r="E23" s="65"/>
      <c r="F23" s="66">
        <v>101744094</v>
      </c>
      <c r="G23" s="35" t="s">
        <v>34</v>
      </c>
      <c r="H23" s="35" t="s">
        <v>14</v>
      </c>
      <c r="I23" s="35" t="s">
        <v>153</v>
      </c>
      <c r="J23" s="71" t="s">
        <v>154</v>
      </c>
      <c r="K23" s="35" t="s">
        <v>68</v>
      </c>
      <c r="L23" s="35" t="s">
        <v>69</v>
      </c>
      <c r="M23" s="35">
        <v>60616</v>
      </c>
      <c r="N23" s="35" t="s">
        <v>155</v>
      </c>
      <c r="O23" s="35" t="s">
        <v>156</v>
      </c>
      <c r="P23" s="35"/>
      <c r="Q23" s="35"/>
      <c r="R23" s="58"/>
    </row>
    <row r="24" spans="1:18" ht="19.5">
      <c r="A24" s="63"/>
      <c r="B24" s="64">
        <v>1</v>
      </c>
      <c r="C24" s="65"/>
      <c r="D24" s="65"/>
      <c r="E24" s="65"/>
      <c r="F24" s="66">
        <v>207245110</v>
      </c>
      <c r="G24" s="35" t="s">
        <v>34</v>
      </c>
      <c r="H24" s="35" t="s">
        <v>14</v>
      </c>
      <c r="I24" s="35" t="s">
        <v>157</v>
      </c>
      <c r="J24" s="69" t="s">
        <v>158</v>
      </c>
      <c r="K24" s="35" t="s">
        <v>68</v>
      </c>
      <c r="L24" s="35" t="s">
        <v>69</v>
      </c>
      <c r="M24" s="35">
        <v>60654</v>
      </c>
      <c r="N24" s="35" t="s">
        <v>135</v>
      </c>
      <c r="O24" s="35" t="s">
        <v>159</v>
      </c>
      <c r="P24" s="35"/>
      <c r="Q24" s="35" t="s">
        <v>160</v>
      </c>
      <c r="R24" s="58"/>
    </row>
    <row r="25" spans="1:18" ht="19.5">
      <c r="A25" s="63"/>
      <c r="B25" s="64">
        <v>1</v>
      </c>
      <c r="C25" s="65"/>
      <c r="D25" s="65"/>
      <c r="E25" s="65"/>
      <c r="F25" s="66">
        <v>102032704</v>
      </c>
      <c r="G25" s="23" t="s">
        <v>34</v>
      </c>
      <c r="H25" s="23" t="s">
        <v>14</v>
      </c>
      <c r="I25" s="23" t="s">
        <v>161</v>
      </c>
      <c r="J25" s="68" t="s">
        <v>162</v>
      </c>
      <c r="K25" s="23" t="s">
        <v>68</v>
      </c>
      <c r="L25" s="23" t="s">
        <v>69</v>
      </c>
      <c r="M25" s="23">
        <v>60605</v>
      </c>
      <c r="N25" s="23" t="s">
        <v>163</v>
      </c>
      <c r="O25" s="23" t="s">
        <v>164</v>
      </c>
      <c r="P25" s="35" t="s">
        <v>165</v>
      </c>
      <c r="Q25" s="35"/>
      <c r="R25" s="58"/>
    </row>
    <row r="26" spans="1:18" ht="19.5">
      <c r="A26" s="63"/>
      <c r="B26" s="64">
        <v>1</v>
      </c>
      <c r="C26" s="65"/>
      <c r="D26" s="65"/>
      <c r="E26" s="65"/>
      <c r="F26" s="66">
        <v>102491849</v>
      </c>
      <c r="G26" s="23" t="s">
        <v>34</v>
      </c>
      <c r="H26" s="23" t="s">
        <v>14</v>
      </c>
      <c r="I26" s="23" t="s">
        <v>166</v>
      </c>
      <c r="J26" s="68" t="s">
        <v>167</v>
      </c>
      <c r="K26" s="23" t="s">
        <v>68</v>
      </c>
      <c r="L26" s="23" t="s">
        <v>69</v>
      </c>
      <c r="M26" s="23">
        <v>60607</v>
      </c>
      <c r="N26" s="23" t="s">
        <v>168</v>
      </c>
      <c r="O26" s="23" t="s">
        <v>169</v>
      </c>
      <c r="P26" s="35" t="s">
        <v>170</v>
      </c>
      <c r="Q26" s="35" t="s">
        <v>138</v>
      </c>
      <c r="R26" s="58"/>
    </row>
    <row r="27" spans="1:18" ht="19.5">
      <c r="A27" s="74"/>
      <c r="B27" s="64">
        <v>1</v>
      </c>
      <c r="C27" s="65">
        <f t="shared" ref="C27:E27" si="0">SUM(C6:C18)</f>
        <v>0</v>
      </c>
      <c r="D27" s="65">
        <f t="shared" si="0"/>
        <v>0</v>
      </c>
      <c r="E27" s="65">
        <f t="shared" si="0"/>
        <v>0</v>
      </c>
      <c r="F27" s="66">
        <v>307037328</v>
      </c>
      <c r="G27" s="23" t="s">
        <v>34</v>
      </c>
      <c r="H27" s="23" t="s">
        <v>14</v>
      </c>
      <c r="I27" s="23" t="s">
        <v>171</v>
      </c>
      <c r="J27" s="68" t="s">
        <v>172</v>
      </c>
      <c r="K27" s="23" t="s">
        <v>68</v>
      </c>
      <c r="L27" s="23" t="s">
        <v>69</v>
      </c>
      <c r="M27" s="23">
        <v>60654</v>
      </c>
      <c r="N27" s="23" t="s">
        <v>173</v>
      </c>
      <c r="O27" s="23" t="s">
        <v>174</v>
      </c>
      <c r="P27" s="35"/>
      <c r="Q27" s="35"/>
      <c r="R27" s="58"/>
    </row>
    <row r="28" spans="1:18" ht="19.5">
      <c r="A28" s="61"/>
      <c r="B28" s="67">
        <v>1</v>
      </c>
      <c r="C28" s="75"/>
      <c r="D28" s="75"/>
      <c r="E28" s="75"/>
      <c r="F28" s="66">
        <v>101993918</v>
      </c>
      <c r="G28" s="67" t="s">
        <v>34</v>
      </c>
      <c r="H28" s="23" t="s">
        <v>14</v>
      </c>
      <c r="I28" s="23" t="s">
        <v>175</v>
      </c>
      <c r="J28" s="71" t="s">
        <v>176</v>
      </c>
      <c r="K28" s="23" t="s">
        <v>68</v>
      </c>
      <c r="L28" s="23" t="s">
        <v>69</v>
      </c>
      <c r="M28" s="23">
        <v>60607</v>
      </c>
      <c r="N28" s="67" t="s">
        <v>177</v>
      </c>
      <c r="O28" s="67" t="s">
        <v>178</v>
      </c>
      <c r="P28" s="67"/>
      <c r="Q28" s="67"/>
      <c r="R28" s="61"/>
    </row>
    <row r="29" spans="1:18" ht="19.5">
      <c r="A29" s="61"/>
      <c r="B29" s="64">
        <v>1</v>
      </c>
      <c r="C29" s="64"/>
      <c r="D29" s="64"/>
      <c r="E29" s="64"/>
      <c r="F29" s="66">
        <v>205011646</v>
      </c>
      <c r="G29" s="64" t="s">
        <v>34</v>
      </c>
      <c r="H29" s="23" t="s">
        <v>14</v>
      </c>
      <c r="I29" s="64" t="s">
        <v>179</v>
      </c>
      <c r="J29" s="71" t="s">
        <v>180</v>
      </c>
      <c r="K29" s="64" t="s">
        <v>68</v>
      </c>
      <c r="L29" s="64" t="s">
        <v>69</v>
      </c>
      <c r="M29" s="64">
        <v>60657</v>
      </c>
      <c r="N29" s="64" t="s">
        <v>135</v>
      </c>
      <c r="O29" s="64" t="s">
        <v>136</v>
      </c>
      <c r="P29" s="64"/>
      <c r="Q29" s="64"/>
      <c r="R29" s="58"/>
    </row>
    <row r="30" spans="1:18" ht="19.5">
      <c r="A30" s="61"/>
      <c r="B30" s="64">
        <v>1</v>
      </c>
      <c r="C30" s="64"/>
      <c r="D30" s="64"/>
      <c r="E30" s="64"/>
      <c r="F30" s="66">
        <v>305026469</v>
      </c>
      <c r="G30" s="64" t="s">
        <v>34</v>
      </c>
      <c r="H30" s="23" t="s">
        <v>14</v>
      </c>
      <c r="I30" s="64" t="s">
        <v>181</v>
      </c>
      <c r="J30" s="71" t="s">
        <v>182</v>
      </c>
      <c r="K30" s="64" t="s">
        <v>68</v>
      </c>
      <c r="L30" s="64" t="s">
        <v>69</v>
      </c>
      <c r="M30" s="64">
        <v>60618</v>
      </c>
      <c r="N30" s="64" t="s">
        <v>146</v>
      </c>
      <c r="O30" s="64" t="s">
        <v>147</v>
      </c>
      <c r="P30" s="64"/>
      <c r="Q30" s="64" t="s">
        <v>183</v>
      </c>
      <c r="R30" s="58"/>
    </row>
    <row r="31" spans="1:18" ht="19.5">
      <c r="A31" s="61"/>
      <c r="B31" s="76">
        <f>SUM(B6:B30)</f>
        <v>25</v>
      </c>
      <c r="C31" s="76"/>
      <c r="D31" s="76"/>
      <c r="E31" s="76"/>
      <c r="F31" s="76"/>
      <c r="G31" s="76"/>
      <c r="H31" s="76"/>
      <c r="I31" s="76"/>
      <c r="J31" s="77"/>
      <c r="K31" s="76"/>
      <c r="L31" s="76"/>
      <c r="M31" s="76"/>
      <c r="N31" s="76"/>
      <c r="O31" s="76"/>
      <c r="P31" s="76"/>
      <c r="Q31" s="76"/>
      <c r="R31" s="76"/>
    </row>
  </sheetData>
  <mergeCells count="3">
    <mergeCell ref="B2:J2"/>
    <mergeCell ref="B4:F4"/>
    <mergeCell ref="B5:F5"/>
  </mergeCells>
  <hyperlinks>
    <hyperlink ref="B4" r:id="rId1" xr:uid="{00000000-0004-0000-0100-000000000000}"/>
  </hyperlinks>
  <printOptions horizontalCentered="1" gridLines="1"/>
  <pageMargins left="0.7" right="0.7" top="0.75" bottom="0.75" header="0" footer="0"/>
  <pageSetup fitToHeight="0" pageOrder="overThenDown" orientation="landscape" cellComments="atEnd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S1032"/>
  <sheetViews>
    <sheetView showGridLines="0"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/>
  <cols>
    <col min="1" max="1" width="2.85546875" customWidth="1"/>
    <col min="2" max="2" width="22.7109375" customWidth="1"/>
    <col min="3" max="3" width="15.5703125" customWidth="1"/>
    <col min="4" max="5" width="17.28515625" customWidth="1"/>
    <col min="6" max="7" width="23.140625" customWidth="1"/>
    <col min="8" max="9" width="13.42578125" customWidth="1"/>
    <col min="10" max="11" width="15.140625" customWidth="1"/>
    <col min="12" max="12" width="23" customWidth="1"/>
    <col min="13" max="13" width="32.5703125" customWidth="1"/>
    <col min="14" max="16" width="19.5703125" customWidth="1"/>
    <col min="17" max="17" width="33.42578125" customWidth="1"/>
    <col min="18" max="18" width="40.42578125" customWidth="1"/>
    <col min="19" max="19" width="2.85546875" customWidth="1"/>
  </cols>
  <sheetData>
    <row r="1" spans="1:19" ht="21.75" customHeight="1">
      <c r="A1" s="48" t="s">
        <v>184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</row>
    <row r="2" spans="1:19" ht="36" customHeight="1">
      <c r="A2" s="50"/>
      <c r="B2" s="264" t="s">
        <v>185</v>
      </c>
      <c r="C2" s="265"/>
      <c r="D2" s="265"/>
      <c r="E2" s="265"/>
      <c r="F2" s="265"/>
      <c r="G2" s="265"/>
      <c r="H2" s="79"/>
      <c r="I2" s="79"/>
      <c r="J2" s="80"/>
      <c r="K2" s="80"/>
      <c r="L2" s="81"/>
      <c r="M2" s="81"/>
      <c r="N2" s="81"/>
      <c r="O2" s="81"/>
      <c r="P2" s="81"/>
      <c r="Q2" s="82"/>
      <c r="R2" s="83"/>
      <c r="S2" s="78"/>
    </row>
    <row r="3" spans="1:19" ht="23.25">
      <c r="A3" s="84"/>
      <c r="B3" s="85"/>
      <c r="C3" s="86"/>
      <c r="D3" s="86"/>
      <c r="E3" s="86"/>
      <c r="F3" s="86"/>
      <c r="G3" s="86"/>
      <c r="H3" s="86"/>
      <c r="I3" s="86"/>
      <c r="J3" s="87"/>
      <c r="K3" s="87"/>
      <c r="L3" s="86"/>
      <c r="M3" s="86"/>
      <c r="N3" s="86"/>
      <c r="O3" s="86"/>
      <c r="P3" s="86"/>
      <c r="Q3" s="57"/>
      <c r="R3" s="57"/>
      <c r="S3" s="57"/>
    </row>
    <row r="4" spans="1:19" ht="24.75" customHeight="1">
      <c r="A4" s="88"/>
      <c r="B4" s="89" t="s">
        <v>186</v>
      </c>
      <c r="C4" s="90" t="s">
        <v>12</v>
      </c>
      <c r="D4" s="90"/>
      <c r="E4" s="90"/>
      <c r="F4" s="90"/>
      <c r="G4" s="91" t="s">
        <v>187</v>
      </c>
      <c r="H4" s="92"/>
      <c r="I4" s="92" t="s">
        <v>6</v>
      </c>
      <c r="J4" s="93" t="s">
        <v>188</v>
      </c>
      <c r="K4" s="94" t="s">
        <v>189</v>
      </c>
      <c r="L4" s="95" t="s">
        <v>190</v>
      </c>
      <c r="M4" s="86"/>
      <c r="N4" s="86"/>
      <c r="O4" s="86"/>
      <c r="P4" s="86"/>
      <c r="Q4" s="57"/>
      <c r="R4" s="57"/>
      <c r="S4" s="57"/>
    </row>
    <row r="5" spans="1:19" ht="23.25">
      <c r="A5" s="84"/>
      <c r="B5" s="85"/>
      <c r="C5" s="86"/>
      <c r="D5" s="86"/>
      <c r="E5" s="86"/>
      <c r="F5" s="86"/>
      <c r="G5" s="86"/>
      <c r="H5" s="86"/>
      <c r="I5" s="86"/>
      <c r="J5" s="87"/>
      <c r="K5" s="87"/>
      <c r="L5" s="86"/>
      <c r="M5" s="86"/>
      <c r="N5" s="86"/>
      <c r="O5" s="86"/>
      <c r="P5" s="86"/>
      <c r="Q5" s="57"/>
      <c r="R5" s="57"/>
      <c r="S5" s="57"/>
    </row>
    <row r="6" spans="1:19" ht="52.5" customHeight="1">
      <c r="A6" s="88"/>
      <c r="B6" s="96" t="s">
        <v>191</v>
      </c>
      <c r="C6" s="97" t="s">
        <v>192</v>
      </c>
      <c r="D6" s="97" t="s">
        <v>193</v>
      </c>
      <c r="E6" s="97" t="s">
        <v>194</v>
      </c>
      <c r="F6" s="97" t="s">
        <v>195</v>
      </c>
      <c r="G6" s="97" t="s">
        <v>196</v>
      </c>
      <c r="H6" s="98" t="s">
        <v>197</v>
      </c>
      <c r="I6" s="98" t="s">
        <v>198</v>
      </c>
      <c r="J6" s="99" t="s">
        <v>199</v>
      </c>
      <c r="K6" s="99" t="s">
        <v>200</v>
      </c>
      <c r="L6" s="98" t="s">
        <v>55</v>
      </c>
      <c r="M6" s="98" t="s">
        <v>56</v>
      </c>
      <c r="N6" s="98" t="s">
        <v>57</v>
      </c>
      <c r="O6" s="98" t="s">
        <v>201</v>
      </c>
      <c r="P6" s="98" t="s">
        <v>202</v>
      </c>
      <c r="Q6" s="100" t="s">
        <v>203</v>
      </c>
      <c r="R6" s="100" t="s">
        <v>63</v>
      </c>
      <c r="S6" s="57"/>
    </row>
    <row r="7" spans="1:19" ht="58.5">
      <c r="A7" s="101"/>
      <c r="B7" s="102" t="s">
        <v>204</v>
      </c>
      <c r="C7" s="103" t="s">
        <v>6</v>
      </c>
      <c r="D7" s="104" t="b">
        <v>1</v>
      </c>
      <c r="E7" s="103" t="b">
        <v>1</v>
      </c>
      <c r="F7" s="103" t="s">
        <v>12</v>
      </c>
      <c r="G7" s="105" t="s">
        <v>205</v>
      </c>
      <c r="H7" s="103" t="s">
        <v>206</v>
      </c>
      <c r="I7" s="106">
        <v>45372</v>
      </c>
      <c r="J7" s="107">
        <v>0.79166666666666663</v>
      </c>
      <c r="K7" s="107">
        <v>0.875</v>
      </c>
      <c r="L7" s="108" t="s">
        <v>106</v>
      </c>
      <c r="M7" s="71" t="s">
        <v>107</v>
      </c>
      <c r="N7" s="108" t="s">
        <v>108</v>
      </c>
      <c r="O7" s="67" t="s">
        <v>109</v>
      </c>
      <c r="P7" s="67" t="s">
        <v>110</v>
      </c>
      <c r="Q7" s="103"/>
      <c r="R7" s="103" t="s">
        <v>207</v>
      </c>
      <c r="S7" s="109"/>
    </row>
    <row r="8" spans="1:19" ht="19.5">
      <c r="A8" s="101"/>
      <c r="B8" s="102" t="s">
        <v>204</v>
      </c>
      <c r="C8" s="103" t="s">
        <v>6</v>
      </c>
      <c r="D8" s="104" t="b">
        <v>1</v>
      </c>
      <c r="E8" s="103" t="b">
        <v>1</v>
      </c>
      <c r="F8" s="103" t="s">
        <v>12</v>
      </c>
      <c r="G8" s="105" t="s">
        <v>205</v>
      </c>
      <c r="H8" s="103" t="s">
        <v>208</v>
      </c>
      <c r="I8" s="106">
        <v>45373</v>
      </c>
      <c r="J8" s="107">
        <v>0.625</v>
      </c>
      <c r="K8" s="107">
        <v>0.70833333333333337</v>
      </c>
      <c r="L8" s="108" t="s">
        <v>126</v>
      </c>
      <c r="M8" s="68" t="s">
        <v>127</v>
      </c>
      <c r="N8" s="66" t="s">
        <v>128</v>
      </c>
      <c r="O8" s="67" t="s">
        <v>129</v>
      </c>
      <c r="P8" s="23" t="s">
        <v>130</v>
      </c>
      <c r="Q8" s="103"/>
      <c r="R8" s="103"/>
      <c r="S8" s="109"/>
    </row>
    <row r="9" spans="1:19" ht="19.5">
      <c r="A9" s="101"/>
      <c r="B9" s="104" t="s">
        <v>209</v>
      </c>
      <c r="C9" s="103" t="s">
        <v>6</v>
      </c>
      <c r="D9" s="104" t="b">
        <v>1</v>
      </c>
      <c r="E9" s="104" t="b">
        <v>1</v>
      </c>
      <c r="F9" s="103" t="s">
        <v>12</v>
      </c>
      <c r="G9" s="105" t="s">
        <v>210</v>
      </c>
      <c r="H9" s="103" t="s">
        <v>208</v>
      </c>
      <c r="I9" s="106">
        <v>45373</v>
      </c>
      <c r="J9" s="107">
        <v>0.79166666666666663</v>
      </c>
      <c r="K9" s="107">
        <v>0.875</v>
      </c>
      <c r="L9" s="108" t="s">
        <v>66</v>
      </c>
      <c r="M9" s="68" t="s">
        <v>67</v>
      </c>
      <c r="N9" s="108" t="s">
        <v>211</v>
      </c>
      <c r="O9" s="103" t="s">
        <v>70</v>
      </c>
      <c r="P9" s="23" t="s">
        <v>71</v>
      </c>
      <c r="Q9" s="103"/>
      <c r="R9" s="103"/>
      <c r="S9" s="109"/>
    </row>
    <row r="10" spans="1:19" ht="19.5">
      <c r="A10" s="101"/>
      <c r="B10" s="104" t="s">
        <v>210</v>
      </c>
      <c r="C10" s="103" t="s">
        <v>6</v>
      </c>
      <c r="D10" s="104" t="b">
        <v>1</v>
      </c>
      <c r="E10" s="104" t="b">
        <v>1</v>
      </c>
      <c r="F10" s="103" t="s">
        <v>12</v>
      </c>
      <c r="G10" s="105" t="s">
        <v>205</v>
      </c>
      <c r="H10" s="103" t="s">
        <v>212</v>
      </c>
      <c r="I10" s="106">
        <v>45374</v>
      </c>
      <c r="J10" s="107">
        <v>0.4375</v>
      </c>
      <c r="K10" s="107">
        <v>0.52083333333333337</v>
      </c>
      <c r="L10" s="108" t="s">
        <v>97</v>
      </c>
      <c r="M10" s="73" t="s">
        <v>213</v>
      </c>
      <c r="N10" s="108" t="s">
        <v>68</v>
      </c>
      <c r="O10" s="103" t="s">
        <v>214</v>
      </c>
      <c r="P10" s="67" t="s">
        <v>100</v>
      </c>
      <c r="Q10" s="103"/>
      <c r="R10" s="103"/>
      <c r="S10" s="109"/>
    </row>
    <row r="11" spans="1:19" ht="19.5">
      <c r="A11" s="101"/>
      <c r="B11" s="102" t="s">
        <v>204</v>
      </c>
      <c r="C11" s="103" t="s">
        <v>6</v>
      </c>
      <c r="D11" s="104" t="b">
        <v>1</v>
      </c>
      <c r="E11" s="104" t="b">
        <v>1</v>
      </c>
      <c r="F11" s="103" t="s">
        <v>12</v>
      </c>
      <c r="G11" s="105" t="s">
        <v>205</v>
      </c>
      <c r="H11" s="103" t="s">
        <v>212</v>
      </c>
      <c r="I11" s="106">
        <v>45374</v>
      </c>
      <c r="J11" s="107">
        <v>0.58333333333333337</v>
      </c>
      <c r="K11" s="107">
        <v>0.66666666666666663</v>
      </c>
      <c r="L11" s="108" t="s">
        <v>111</v>
      </c>
      <c r="M11" s="71" t="s">
        <v>112</v>
      </c>
      <c r="N11" s="108" t="s">
        <v>68</v>
      </c>
      <c r="O11" s="103" t="s">
        <v>215</v>
      </c>
      <c r="P11" s="67" t="s">
        <v>114</v>
      </c>
      <c r="Q11" s="103"/>
      <c r="R11" s="103"/>
      <c r="S11" s="109"/>
    </row>
    <row r="12" spans="1:19" ht="19.5">
      <c r="A12" s="101"/>
      <c r="B12" s="104" t="s">
        <v>204</v>
      </c>
      <c r="C12" s="103" t="s">
        <v>6</v>
      </c>
      <c r="D12" s="104" t="b">
        <v>1</v>
      </c>
      <c r="E12" s="104" t="b">
        <v>1</v>
      </c>
      <c r="F12" s="103" t="s">
        <v>12</v>
      </c>
      <c r="G12" s="105" t="s">
        <v>205</v>
      </c>
      <c r="H12" s="103" t="s">
        <v>216</v>
      </c>
      <c r="I12" s="106">
        <v>45375</v>
      </c>
      <c r="J12" s="107">
        <v>0.66666666666666663</v>
      </c>
      <c r="K12" s="107">
        <v>0.75</v>
      </c>
      <c r="L12" s="108" t="s">
        <v>102</v>
      </c>
      <c r="M12" s="110" t="s">
        <v>103</v>
      </c>
      <c r="N12" s="108" t="s">
        <v>68</v>
      </c>
      <c r="O12" s="103" t="s">
        <v>104</v>
      </c>
      <c r="P12" s="67" t="s">
        <v>105</v>
      </c>
      <c r="Q12" s="103"/>
      <c r="R12" s="103"/>
      <c r="S12" s="109"/>
    </row>
    <row r="13" spans="1:19" ht="8.25" customHeight="1">
      <c r="A13" s="101"/>
      <c r="B13" s="111"/>
      <c r="C13" s="111"/>
      <c r="D13" s="111"/>
      <c r="E13" s="111"/>
      <c r="F13" s="111"/>
      <c r="G13" s="111"/>
      <c r="H13" s="111"/>
      <c r="I13" s="112"/>
      <c r="J13" s="113"/>
      <c r="K13" s="114"/>
      <c r="L13" s="115"/>
      <c r="M13" s="116"/>
      <c r="N13" s="117"/>
      <c r="O13" s="118"/>
      <c r="P13" s="119"/>
      <c r="Q13" s="119"/>
      <c r="R13" s="120"/>
      <c r="S13" s="109"/>
    </row>
    <row r="14" spans="1:19" ht="39">
      <c r="A14" s="101"/>
      <c r="B14" s="121" t="s">
        <v>217</v>
      </c>
      <c r="C14" s="103" t="s">
        <v>6</v>
      </c>
      <c r="D14" s="104" t="b">
        <v>1</v>
      </c>
      <c r="E14" s="104" t="b">
        <v>1</v>
      </c>
      <c r="F14" s="103" t="s">
        <v>12</v>
      </c>
      <c r="G14" s="103" t="s">
        <v>210</v>
      </c>
      <c r="H14" s="122" t="s">
        <v>206</v>
      </c>
      <c r="I14" s="123">
        <v>45379</v>
      </c>
      <c r="J14" s="124">
        <v>0.75</v>
      </c>
      <c r="K14" s="124">
        <v>0.83333333333333337</v>
      </c>
      <c r="L14" s="108" t="s">
        <v>78</v>
      </c>
      <c r="M14" s="70" t="s">
        <v>79</v>
      </c>
      <c r="N14" s="108" t="s">
        <v>68</v>
      </c>
      <c r="O14" s="67" t="s">
        <v>80</v>
      </c>
      <c r="P14" s="67" t="s">
        <v>81</v>
      </c>
      <c r="Q14" s="103"/>
      <c r="R14" s="103" t="s">
        <v>218</v>
      </c>
      <c r="S14" s="109"/>
    </row>
    <row r="15" spans="1:19" ht="19.5">
      <c r="A15" s="101"/>
      <c r="B15" s="102" t="s">
        <v>204</v>
      </c>
      <c r="C15" s="103" t="s">
        <v>6</v>
      </c>
      <c r="D15" s="104" t="b">
        <v>1</v>
      </c>
      <c r="E15" s="103" t="b">
        <v>1</v>
      </c>
      <c r="F15" s="103" t="s">
        <v>12</v>
      </c>
      <c r="G15" s="122" t="s">
        <v>210</v>
      </c>
      <c r="H15" s="103" t="s">
        <v>212</v>
      </c>
      <c r="I15" s="106">
        <v>45381</v>
      </c>
      <c r="J15" s="107">
        <v>0.70833333333333337</v>
      </c>
      <c r="K15" s="107">
        <v>0.79166666666666663</v>
      </c>
      <c r="L15" s="108" t="s">
        <v>121</v>
      </c>
      <c r="M15" s="71" t="s">
        <v>122</v>
      </c>
      <c r="N15" s="108" t="s">
        <v>211</v>
      </c>
      <c r="O15" s="67" t="s">
        <v>123</v>
      </c>
      <c r="P15" s="67" t="s">
        <v>124</v>
      </c>
      <c r="Q15" s="103"/>
      <c r="R15" s="103" t="s">
        <v>219</v>
      </c>
      <c r="S15" s="109"/>
    </row>
    <row r="16" spans="1:19" ht="8.25" customHeight="1">
      <c r="A16" s="101"/>
      <c r="B16" s="111"/>
      <c r="C16" s="111"/>
      <c r="D16" s="111"/>
      <c r="E16" s="111"/>
      <c r="F16" s="111"/>
      <c r="G16" s="111"/>
      <c r="H16" s="111"/>
      <c r="I16" s="112"/>
      <c r="J16" s="113"/>
      <c r="K16" s="114"/>
      <c r="L16" s="115"/>
      <c r="M16" s="116"/>
      <c r="N16" s="117"/>
      <c r="O16" s="118"/>
      <c r="P16" s="119"/>
      <c r="Q16" s="119"/>
      <c r="R16" s="120"/>
      <c r="S16" s="109"/>
    </row>
    <row r="17" spans="1:19" ht="19.5">
      <c r="A17" s="101"/>
      <c r="B17" s="102"/>
      <c r="C17" s="103" t="s">
        <v>6</v>
      </c>
      <c r="D17" s="104" t="b">
        <v>1</v>
      </c>
      <c r="E17" s="104" t="b">
        <v>1</v>
      </c>
      <c r="F17" s="103" t="s">
        <v>12</v>
      </c>
      <c r="G17" s="122" t="s">
        <v>220</v>
      </c>
      <c r="H17" s="103" t="s">
        <v>221</v>
      </c>
      <c r="I17" s="106">
        <v>45385</v>
      </c>
      <c r="J17" s="107">
        <v>0.70833333333333337</v>
      </c>
      <c r="K17" s="107">
        <v>0.79166666666666663</v>
      </c>
      <c r="L17" s="108" t="s">
        <v>222</v>
      </c>
      <c r="M17" s="71" t="s">
        <v>116</v>
      </c>
      <c r="N17" s="108" t="s">
        <v>68</v>
      </c>
      <c r="O17" s="103" t="s">
        <v>117</v>
      </c>
      <c r="P17" s="67" t="s">
        <v>118</v>
      </c>
      <c r="Q17" s="103"/>
      <c r="R17" s="103" t="s">
        <v>223</v>
      </c>
      <c r="S17" s="109"/>
    </row>
    <row r="18" spans="1:19" ht="19.5">
      <c r="A18" s="101"/>
      <c r="B18" s="102"/>
      <c r="C18" s="103" t="s">
        <v>6</v>
      </c>
      <c r="D18" s="104" t="b">
        <v>1</v>
      </c>
      <c r="E18" s="103" t="b">
        <v>1</v>
      </c>
      <c r="F18" s="103" t="s">
        <v>12</v>
      </c>
      <c r="G18" s="125" t="s">
        <v>210</v>
      </c>
      <c r="H18" s="126" t="s">
        <v>206</v>
      </c>
      <c r="I18" s="106">
        <v>45386</v>
      </c>
      <c r="J18" s="127">
        <v>0.79166666666666663</v>
      </c>
      <c r="K18" s="107">
        <v>0.875</v>
      </c>
      <c r="L18" s="108" t="s">
        <v>82</v>
      </c>
      <c r="M18" s="71" t="s">
        <v>83</v>
      </c>
      <c r="N18" s="108" t="s">
        <v>68</v>
      </c>
      <c r="O18" s="103" t="s">
        <v>84</v>
      </c>
      <c r="P18" s="128" t="s">
        <v>85</v>
      </c>
      <c r="Q18" s="103"/>
      <c r="R18" s="103" t="s">
        <v>224</v>
      </c>
      <c r="S18" s="109"/>
    </row>
    <row r="19" spans="1:19" ht="19.5">
      <c r="A19" s="101"/>
      <c r="B19" s="102" t="s">
        <v>225</v>
      </c>
      <c r="C19" s="103" t="s">
        <v>6</v>
      </c>
      <c r="D19" s="104" t="b">
        <v>1</v>
      </c>
      <c r="E19" s="104" t="b">
        <v>1</v>
      </c>
      <c r="F19" s="103" t="s">
        <v>12</v>
      </c>
      <c r="G19" s="122" t="s">
        <v>210</v>
      </c>
      <c r="H19" s="122" t="s">
        <v>212</v>
      </c>
      <c r="I19" s="123">
        <v>45388</v>
      </c>
      <c r="J19" s="124">
        <v>0.58333333333333337</v>
      </c>
      <c r="K19" s="124">
        <v>0.66666666666666663</v>
      </c>
      <c r="L19" s="129" t="s">
        <v>87</v>
      </c>
      <c r="M19" s="71" t="s">
        <v>88</v>
      </c>
      <c r="N19" s="108" t="s">
        <v>68</v>
      </c>
      <c r="O19" s="67" t="s">
        <v>89</v>
      </c>
      <c r="P19" s="67" t="s">
        <v>90</v>
      </c>
      <c r="Q19" s="103"/>
      <c r="R19" s="103"/>
      <c r="S19" s="109"/>
    </row>
    <row r="20" spans="1:19" ht="19.5">
      <c r="A20" s="101"/>
      <c r="B20" s="104" t="s">
        <v>225</v>
      </c>
      <c r="C20" s="103" t="s">
        <v>6</v>
      </c>
      <c r="D20" s="104" t="b">
        <v>1</v>
      </c>
      <c r="E20" s="104" t="b">
        <v>1</v>
      </c>
      <c r="F20" s="103" t="s">
        <v>12</v>
      </c>
      <c r="G20" s="122" t="s">
        <v>210</v>
      </c>
      <c r="H20" s="122" t="s">
        <v>212</v>
      </c>
      <c r="I20" s="106">
        <v>45388</v>
      </c>
      <c r="J20" s="107">
        <v>0.75</v>
      </c>
      <c r="K20" s="107">
        <v>0.83333333333333337</v>
      </c>
      <c r="L20" s="108" t="s">
        <v>91</v>
      </c>
      <c r="M20" s="71" t="s">
        <v>92</v>
      </c>
      <c r="N20" s="130" t="s">
        <v>93</v>
      </c>
      <c r="O20" s="103" t="s">
        <v>94</v>
      </c>
      <c r="P20" s="72" t="s">
        <v>95</v>
      </c>
      <c r="Q20" s="103"/>
      <c r="R20" s="103"/>
      <c r="S20" s="109"/>
    </row>
    <row r="21" spans="1:19" ht="19.5">
      <c r="A21" s="101"/>
      <c r="B21" s="104" t="s">
        <v>217</v>
      </c>
      <c r="C21" s="104" t="s">
        <v>226</v>
      </c>
      <c r="D21" s="104" t="b">
        <v>1</v>
      </c>
      <c r="E21" s="104" t="b">
        <v>1</v>
      </c>
      <c r="F21" s="103" t="s">
        <v>12</v>
      </c>
      <c r="G21" s="103" t="s">
        <v>210</v>
      </c>
      <c r="H21" s="103" t="s">
        <v>227</v>
      </c>
      <c r="I21" s="106">
        <v>45390</v>
      </c>
      <c r="J21" s="107">
        <v>0.79166666666666663</v>
      </c>
      <c r="K21" s="107">
        <v>0.875</v>
      </c>
      <c r="L21" s="131" t="s">
        <v>74</v>
      </c>
      <c r="M21" s="110" t="s">
        <v>75</v>
      </c>
      <c r="N21" s="108" t="s">
        <v>68</v>
      </c>
      <c r="O21" s="103" t="s">
        <v>76</v>
      </c>
      <c r="P21" s="67" t="s">
        <v>77</v>
      </c>
      <c r="Q21" s="109"/>
      <c r="R21" s="103"/>
      <c r="S21" s="109"/>
    </row>
    <row r="22" spans="1:19" ht="19.5">
      <c r="A22" s="101"/>
      <c r="B22" s="102"/>
      <c r="C22" s="103"/>
      <c r="D22" s="104" t="b">
        <v>0</v>
      </c>
      <c r="E22" s="103" t="b">
        <v>0</v>
      </c>
      <c r="F22" s="103" t="s">
        <v>12</v>
      </c>
      <c r="G22" s="125"/>
      <c r="H22" s="126"/>
      <c r="I22" s="103"/>
      <c r="J22" s="107"/>
      <c r="K22" s="107"/>
      <c r="L22" s="108"/>
      <c r="M22" s="73"/>
      <c r="N22" s="108"/>
      <c r="O22" s="64"/>
      <c r="P22" s="64"/>
      <c r="Q22" s="103"/>
      <c r="R22" s="103"/>
      <c r="S22" s="109"/>
    </row>
    <row r="23" spans="1:19" ht="19.5">
      <c r="A23" s="101"/>
      <c r="B23" s="102"/>
      <c r="C23" s="103"/>
      <c r="D23" s="104" t="b">
        <v>0</v>
      </c>
      <c r="E23" s="103" t="b">
        <v>0</v>
      </c>
      <c r="F23" s="103" t="s">
        <v>12</v>
      </c>
      <c r="G23" s="125"/>
      <c r="H23" s="126"/>
      <c r="I23" s="103"/>
      <c r="J23" s="107"/>
      <c r="K23" s="107"/>
      <c r="L23" s="108"/>
      <c r="M23" s="70"/>
      <c r="N23" s="108"/>
      <c r="O23" s="67"/>
      <c r="P23" s="67"/>
      <c r="Q23" s="103"/>
      <c r="R23" s="103"/>
      <c r="S23" s="109"/>
    </row>
    <row r="24" spans="1:19" ht="19.5">
      <c r="A24" s="101"/>
      <c r="B24" s="102"/>
      <c r="C24" s="103"/>
      <c r="D24" s="104" t="b">
        <v>0</v>
      </c>
      <c r="E24" s="103" t="b">
        <v>0</v>
      </c>
      <c r="F24" s="103" t="s">
        <v>12</v>
      </c>
      <c r="G24" s="125"/>
      <c r="H24" s="126"/>
      <c r="I24" s="103"/>
      <c r="J24" s="107"/>
      <c r="K24" s="107"/>
      <c r="L24" s="108"/>
      <c r="M24" s="70"/>
      <c r="N24" s="130"/>
      <c r="O24" s="67"/>
      <c r="P24" s="67"/>
      <c r="Q24" s="103"/>
      <c r="R24" s="103"/>
      <c r="S24" s="109"/>
    </row>
    <row r="25" spans="1:19" ht="19.5">
      <c r="A25" s="101"/>
      <c r="B25" s="102"/>
      <c r="C25" s="103"/>
      <c r="D25" s="104" t="b">
        <v>0</v>
      </c>
      <c r="E25" s="103" t="b">
        <v>0</v>
      </c>
      <c r="F25" s="103" t="s">
        <v>12</v>
      </c>
      <c r="G25" s="125"/>
      <c r="H25" s="126"/>
      <c r="I25" s="103"/>
      <c r="J25" s="124"/>
      <c r="K25" s="124"/>
      <c r="L25" s="108"/>
      <c r="M25" s="108"/>
      <c r="N25" s="108"/>
      <c r="O25" s="103"/>
      <c r="P25" s="103"/>
      <c r="Q25" s="103"/>
      <c r="R25" s="103"/>
      <c r="S25" s="109"/>
    </row>
    <row r="26" spans="1:19" ht="19.5">
      <c r="A26" s="101"/>
      <c r="B26" s="102"/>
      <c r="C26" s="103"/>
      <c r="D26" s="104" t="b">
        <v>0</v>
      </c>
      <c r="E26" s="103" t="b">
        <v>0</v>
      </c>
      <c r="F26" s="103" t="s">
        <v>12</v>
      </c>
      <c r="G26" s="125"/>
      <c r="H26" s="126"/>
      <c r="I26" s="103"/>
      <c r="J26" s="132"/>
      <c r="K26" s="124"/>
      <c r="L26" s="108"/>
      <c r="M26" s="66"/>
      <c r="N26" s="66"/>
      <c r="O26" s="67"/>
      <c r="P26" s="67"/>
      <c r="Q26" s="103"/>
      <c r="R26" s="103"/>
      <c r="S26" s="109"/>
    </row>
    <row r="27" spans="1:19" ht="19.5">
      <c r="A27" s="101"/>
      <c r="B27" s="102"/>
      <c r="C27" s="103"/>
      <c r="D27" s="104" t="b">
        <v>0</v>
      </c>
      <c r="E27" s="103" t="b">
        <v>0</v>
      </c>
      <c r="F27" s="103" t="s">
        <v>12</v>
      </c>
      <c r="G27" s="105"/>
      <c r="H27" s="126"/>
      <c r="I27" s="103"/>
      <c r="J27" s="107"/>
      <c r="K27" s="107"/>
      <c r="L27" s="108"/>
      <c r="M27" s="73"/>
      <c r="N27" s="108"/>
      <c r="O27" s="67"/>
      <c r="P27" s="64"/>
      <c r="Q27" s="103"/>
      <c r="R27" s="103"/>
      <c r="S27" s="109"/>
    </row>
    <row r="28" spans="1:19" ht="19.5">
      <c r="A28" s="101"/>
      <c r="B28" s="102"/>
      <c r="C28" s="103"/>
      <c r="D28" s="104" t="b">
        <v>0</v>
      </c>
      <c r="E28" s="103" t="b">
        <v>0</v>
      </c>
      <c r="F28" s="103" t="s">
        <v>12</v>
      </c>
      <c r="G28" s="125"/>
      <c r="H28" s="126"/>
      <c r="I28" s="103"/>
      <c r="J28" s="124"/>
      <c r="K28" s="124"/>
      <c r="L28" s="108"/>
      <c r="M28" s="108"/>
      <c r="N28" s="108"/>
      <c r="O28" s="67"/>
      <c r="P28" s="67"/>
      <c r="Q28" s="103"/>
      <c r="R28" s="103"/>
      <c r="S28" s="109"/>
    </row>
    <row r="29" spans="1:19" ht="19.5">
      <c r="A29" s="101"/>
      <c r="B29" s="102"/>
      <c r="C29" s="103"/>
      <c r="D29" s="103" t="b">
        <v>0</v>
      </c>
      <c r="E29" s="103" t="b">
        <v>0</v>
      </c>
      <c r="F29" s="103" t="s">
        <v>12</v>
      </c>
      <c r="G29" s="105"/>
      <c r="H29" s="126"/>
      <c r="I29" s="103"/>
      <c r="J29" s="124"/>
      <c r="K29" s="124"/>
      <c r="L29" s="108"/>
      <c r="M29" s="108"/>
      <c r="N29" s="108"/>
      <c r="O29" s="67"/>
      <c r="P29" s="67"/>
      <c r="Q29" s="103"/>
      <c r="R29" s="103"/>
      <c r="S29" s="109"/>
    </row>
    <row r="30" spans="1:19" ht="28.5">
      <c r="A30" s="101"/>
      <c r="B30" s="133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5"/>
      <c r="S30" s="109"/>
    </row>
    <row r="31" spans="1:19" ht="39">
      <c r="A31" s="136"/>
      <c r="B31" s="137" t="s">
        <v>228</v>
      </c>
      <c r="C31" s="138" t="s">
        <v>24</v>
      </c>
      <c r="D31" s="138" t="s">
        <v>229</v>
      </c>
      <c r="E31" s="138" t="s">
        <v>230</v>
      </c>
      <c r="F31" s="138" t="s">
        <v>198</v>
      </c>
      <c r="G31" s="138" t="s">
        <v>197</v>
      </c>
      <c r="H31" s="138" t="s">
        <v>231</v>
      </c>
      <c r="I31" s="138" t="s">
        <v>200</v>
      </c>
      <c r="J31" s="138" t="s">
        <v>55</v>
      </c>
      <c r="K31" s="138" t="s">
        <v>56</v>
      </c>
      <c r="L31" s="138" t="s">
        <v>57</v>
      </c>
      <c r="M31" s="138" t="s">
        <v>232</v>
      </c>
      <c r="N31" s="139"/>
      <c r="O31" s="139"/>
      <c r="P31" s="139"/>
      <c r="Q31" s="139"/>
      <c r="R31" s="139"/>
      <c r="S31" s="136"/>
    </row>
    <row r="32" spans="1:19" ht="58.5">
      <c r="A32" s="136"/>
      <c r="B32" s="140" t="s">
        <v>189</v>
      </c>
      <c r="C32" s="140" t="s">
        <v>233</v>
      </c>
      <c r="D32" s="140" t="s">
        <v>120</v>
      </c>
      <c r="E32" s="140" t="s">
        <v>234</v>
      </c>
      <c r="F32" s="139" t="s">
        <v>212</v>
      </c>
      <c r="G32" s="141">
        <v>45381</v>
      </c>
      <c r="H32" s="142">
        <v>0.54166666666666663</v>
      </c>
      <c r="I32" s="142">
        <v>0.625</v>
      </c>
      <c r="J32" s="139" t="s">
        <v>82</v>
      </c>
      <c r="K32" s="71" t="s">
        <v>83</v>
      </c>
      <c r="L32" s="108" t="s">
        <v>68</v>
      </c>
      <c r="M32" s="139" t="s">
        <v>84</v>
      </c>
      <c r="N32" s="139"/>
      <c r="O32" s="139" t="s">
        <v>84</v>
      </c>
      <c r="P32" s="139"/>
      <c r="Q32" s="139"/>
      <c r="R32" s="139" t="s">
        <v>235</v>
      </c>
      <c r="S32" s="136"/>
    </row>
    <row r="33" spans="1:19" ht="19.5">
      <c r="A33" s="136"/>
      <c r="B33" s="140"/>
      <c r="C33" s="140"/>
      <c r="D33" s="140"/>
      <c r="E33" s="140"/>
      <c r="F33" s="140"/>
      <c r="G33" s="140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6"/>
    </row>
    <row r="34" spans="1:19" ht="19.5">
      <c r="A34" s="136"/>
      <c r="B34" s="140"/>
      <c r="C34" s="140"/>
      <c r="D34" s="140"/>
      <c r="E34" s="140"/>
      <c r="F34" s="140"/>
      <c r="G34" s="140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6"/>
    </row>
    <row r="35" spans="1:19" ht="19.5">
      <c r="A35" s="136"/>
      <c r="B35" s="140"/>
      <c r="C35" s="140"/>
      <c r="D35" s="140"/>
      <c r="E35" s="140"/>
      <c r="F35" s="140"/>
      <c r="G35" s="140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6"/>
    </row>
    <row r="36" spans="1:19" ht="19.5">
      <c r="A36" s="136"/>
      <c r="B36" s="140"/>
      <c r="C36" s="140"/>
      <c r="D36" s="140"/>
      <c r="E36" s="140"/>
      <c r="F36" s="140"/>
      <c r="G36" s="140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6"/>
    </row>
    <row r="37" spans="1:19" ht="19.5">
      <c r="A37" s="136"/>
      <c r="B37" s="140"/>
      <c r="C37" s="140"/>
      <c r="D37" s="140"/>
      <c r="E37" s="140"/>
      <c r="F37" s="140"/>
      <c r="G37" s="140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6"/>
    </row>
    <row r="38" spans="1:19" ht="19.5">
      <c r="A38" s="136"/>
      <c r="B38" s="140"/>
      <c r="C38" s="140"/>
      <c r="D38" s="140"/>
      <c r="E38" s="140"/>
      <c r="F38" s="140"/>
      <c r="G38" s="140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6"/>
    </row>
    <row r="39" spans="1:19" ht="19.5">
      <c r="A39" s="136"/>
      <c r="B39" s="140"/>
      <c r="C39" s="140"/>
      <c r="D39" s="140"/>
      <c r="E39" s="140"/>
      <c r="F39" s="140"/>
      <c r="G39" s="140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6"/>
    </row>
    <row r="40" spans="1:19" ht="19.5">
      <c r="A40" s="136"/>
      <c r="B40" s="140"/>
      <c r="C40" s="140"/>
      <c r="D40" s="140"/>
      <c r="E40" s="140"/>
      <c r="F40" s="140"/>
      <c r="G40" s="140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6"/>
    </row>
    <row r="41" spans="1:19" ht="19.5">
      <c r="A41" s="136"/>
      <c r="B41" s="140"/>
      <c r="C41" s="140"/>
      <c r="D41" s="140"/>
      <c r="E41" s="140"/>
      <c r="F41" s="140"/>
      <c r="G41" s="140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6"/>
    </row>
    <row r="42" spans="1:19" ht="19.5">
      <c r="A42" s="136"/>
      <c r="B42" s="140"/>
      <c r="C42" s="140"/>
      <c r="D42" s="140"/>
      <c r="E42" s="140"/>
      <c r="F42" s="140"/>
      <c r="G42" s="140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6"/>
    </row>
    <row r="43" spans="1:19" ht="19.5">
      <c r="A43" s="136"/>
      <c r="B43" s="143"/>
      <c r="C43" s="143"/>
      <c r="D43" s="143"/>
      <c r="E43" s="143"/>
      <c r="F43" s="143"/>
      <c r="G43" s="143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</row>
    <row r="44" spans="1:19" ht="19.5">
      <c r="A44" s="136"/>
      <c r="B44" s="143"/>
      <c r="C44" s="143"/>
      <c r="D44" s="143"/>
      <c r="E44" s="143"/>
      <c r="F44" s="143"/>
      <c r="G44" s="143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</row>
    <row r="45" spans="1:19" ht="19.5">
      <c r="A45" s="136"/>
      <c r="B45" s="143"/>
      <c r="C45" s="143"/>
      <c r="D45" s="143"/>
      <c r="E45" s="143"/>
      <c r="F45" s="143"/>
      <c r="G45" s="143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</row>
    <row r="46" spans="1:19" ht="19.5">
      <c r="A46" s="136"/>
      <c r="B46" s="143"/>
      <c r="C46" s="143"/>
      <c r="D46" s="143"/>
      <c r="E46" s="143"/>
      <c r="F46" s="143"/>
      <c r="G46" s="143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</row>
    <row r="47" spans="1:19" ht="19.5">
      <c r="A47" s="136"/>
      <c r="B47" s="143"/>
      <c r="C47" s="143"/>
      <c r="D47" s="143"/>
      <c r="E47" s="143"/>
      <c r="F47" s="143"/>
      <c r="G47" s="143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</row>
    <row r="48" spans="1:19" ht="19.5">
      <c r="A48" s="136"/>
      <c r="B48" s="143"/>
      <c r="C48" s="143"/>
      <c r="D48" s="143"/>
      <c r="E48" s="143"/>
      <c r="F48" s="143"/>
      <c r="G48" s="143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</row>
    <row r="49" spans="1:19" ht="19.5">
      <c r="A49" s="136"/>
      <c r="B49" s="143"/>
      <c r="C49" s="143"/>
      <c r="D49" s="143"/>
      <c r="E49" s="143"/>
      <c r="F49" s="143"/>
      <c r="G49" s="143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</row>
    <row r="50" spans="1:19" ht="19.5">
      <c r="A50" s="136"/>
      <c r="B50" s="143"/>
      <c r="C50" s="143"/>
      <c r="D50" s="143"/>
      <c r="E50" s="143"/>
      <c r="F50" s="143"/>
      <c r="G50" s="143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</row>
    <row r="51" spans="1:19" ht="19.5">
      <c r="A51" s="136"/>
      <c r="B51" s="143"/>
      <c r="C51" s="143"/>
      <c r="D51" s="143"/>
      <c r="E51" s="143"/>
      <c r="F51" s="143"/>
      <c r="G51" s="143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</row>
    <row r="52" spans="1:19" ht="19.5">
      <c r="A52" s="136"/>
      <c r="B52" s="143"/>
      <c r="C52" s="143"/>
      <c r="D52" s="143"/>
      <c r="E52" s="143"/>
      <c r="F52" s="143"/>
      <c r="G52" s="143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</row>
    <row r="53" spans="1:19" ht="19.5">
      <c r="A53" s="136"/>
      <c r="B53" s="143"/>
      <c r="C53" s="143"/>
      <c r="D53" s="143"/>
      <c r="E53" s="143"/>
      <c r="F53" s="143"/>
      <c r="G53" s="143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</row>
    <row r="54" spans="1:19" ht="19.5">
      <c r="A54" s="136"/>
      <c r="B54" s="143"/>
      <c r="C54" s="143"/>
      <c r="D54" s="143"/>
      <c r="E54" s="143"/>
      <c r="F54" s="143"/>
      <c r="G54" s="143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</row>
    <row r="55" spans="1:19" ht="19.5">
      <c r="A55" s="136"/>
      <c r="B55" s="143"/>
      <c r="C55" s="143"/>
      <c r="D55" s="143"/>
      <c r="E55" s="143"/>
      <c r="F55" s="143"/>
      <c r="G55" s="143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</row>
    <row r="56" spans="1:19" ht="19.5">
      <c r="A56" s="136"/>
      <c r="B56" s="143"/>
      <c r="C56" s="143"/>
      <c r="D56" s="143"/>
      <c r="E56" s="143"/>
      <c r="F56" s="143"/>
      <c r="G56" s="143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</row>
    <row r="57" spans="1:19" ht="19.5">
      <c r="A57" s="136"/>
      <c r="B57" s="143"/>
      <c r="C57" s="143"/>
      <c r="D57" s="143"/>
      <c r="E57" s="143"/>
      <c r="F57" s="143"/>
      <c r="G57" s="143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</row>
    <row r="58" spans="1:19" ht="19.5">
      <c r="A58" s="136"/>
      <c r="B58" s="143"/>
      <c r="C58" s="143"/>
      <c r="D58" s="143"/>
      <c r="E58" s="143"/>
      <c r="F58" s="143"/>
      <c r="G58" s="143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</row>
    <row r="59" spans="1:19" ht="19.5">
      <c r="A59" s="136"/>
      <c r="B59" s="143"/>
      <c r="C59" s="143"/>
      <c r="D59" s="143"/>
      <c r="E59" s="143"/>
      <c r="F59" s="143"/>
      <c r="G59" s="143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</row>
    <row r="60" spans="1:19" ht="19.5">
      <c r="A60" s="136"/>
      <c r="B60" s="143"/>
      <c r="C60" s="143"/>
      <c r="D60" s="143"/>
      <c r="E60" s="143"/>
      <c r="F60" s="143"/>
      <c r="G60" s="143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</row>
    <row r="61" spans="1:19" ht="19.5">
      <c r="A61" s="136"/>
      <c r="B61" s="143"/>
      <c r="C61" s="143"/>
      <c r="D61" s="143"/>
      <c r="E61" s="143"/>
      <c r="F61" s="143"/>
      <c r="G61" s="143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</row>
    <row r="62" spans="1:19" ht="19.5">
      <c r="A62" s="136"/>
      <c r="B62" s="143"/>
      <c r="C62" s="143"/>
      <c r="D62" s="143"/>
      <c r="E62" s="143"/>
      <c r="F62" s="143"/>
      <c r="G62" s="143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  <row r="63" spans="1:19" ht="19.5">
      <c r="A63" s="136"/>
      <c r="B63" s="143"/>
      <c r="C63" s="143"/>
      <c r="D63" s="143"/>
      <c r="E63" s="143"/>
      <c r="F63" s="143"/>
      <c r="G63" s="143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</row>
    <row r="64" spans="1:19" ht="19.5">
      <c r="A64" s="136"/>
      <c r="B64" s="143"/>
      <c r="C64" s="143"/>
      <c r="D64" s="143"/>
      <c r="E64" s="143"/>
      <c r="F64" s="143"/>
      <c r="G64" s="143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</row>
    <row r="65" spans="1:19" ht="19.5">
      <c r="A65" s="136"/>
      <c r="B65" s="143"/>
      <c r="C65" s="143"/>
      <c r="D65" s="143"/>
      <c r="E65" s="143"/>
      <c r="F65" s="143"/>
      <c r="G65" s="143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</row>
    <row r="66" spans="1:19" ht="19.5">
      <c r="A66" s="136"/>
      <c r="B66" s="143"/>
      <c r="C66" s="143"/>
      <c r="D66" s="143"/>
      <c r="E66" s="143"/>
      <c r="F66" s="143"/>
      <c r="G66" s="143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</row>
    <row r="67" spans="1:19" ht="19.5">
      <c r="A67" s="136"/>
      <c r="B67" s="143"/>
      <c r="C67" s="143"/>
      <c r="D67" s="143"/>
      <c r="E67" s="143"/>
      <c r="F67" s="143"/>
      <c r="G67" s="143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</row>
    <row r="68" spans="1:19" ht="19.5">
      <c r="A68" s="136"/>
      <c r="B68" s="143"/>
      <c r="C68" s="143"/>
      <c r="D68" s="143"/>
      <c r="E68" s="143"/>
      <c r="F68" s="143"/>
      <c r="G68" s="143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</row>
    <row r="69" spans="1:19" ht="19.5">
      <c r="A69" s="136"/>
      <c r="B69" s="143"/>
      <c r="C69" s="143"/>
      <c r="D69" s="143"/>
      <c r="E69" s="143"/>
      <c r="F69" s="143"/>
      <c r="G69" s="143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</row>
    <row r="70" spans="1:19" ht="19.5">
      <c r="A70" s="136"/>
      <c r="B70" s="143"/>
      <c r="C70" s="143"/>
      <c r="D70" s="143"/>
      <c r="E70" s="143"/>
      <c r="F70" s="143"/>
      <c r="G70" s="143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</row>
    <row r="71" spans="1:19" ht="19.5">
      <c r="A71" s="136"/>
      <c r="B71" s="143"/>
      <c r="C71" s="143"/>
      <c r="D71" s="143"/>
      <c r="E71" s="143"/>
      <c r="F71" s="143"/>
      <c r="G71" s="143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</row>
    <row r="72" spans="1:19" ht="19.5">
      <c r="A72" s="136"/>
      <c r="B72" s="143"/>
      <c r="C72" s="143"/>
      <c r="D72" s="143"/>
      <c r="E72" s="143"/>
      <c r="F72" s="143"/>
      <c r="G72" s="143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</row>
    <row r="73" spans="1:19" ht="19.5">
      <c r="A73" s="136"/>
      <c r="B73" s="143"/>
      <c r="C73" s="143"/>
      <c r="D73" s="143"/>
      <c r="E73" s="143"/>
      <c r="F73" s="143"/>
      <c r="G73" s="143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</row>
    <row r="74" spans="1:19" ht="19.5">
      <c r="A74" s="136"/>
      <c r="B74" s="143"/>
      <c r="C74" s="143"/>
      <c r="D74" s="143"/>
      <c r="E74" s="143"/>
      <c r="F74" s="143"/>
      <c r="G74" s="143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</row>
    <row r="75" spans="1:19" ht="19.5">
      <c r="A75" s="136"/>
      <c r="B75" s="143"/>
      <c r="C75" s="143"/>
      <c r="D75" s="143"/>
      <c r="E75" s="143"/>
      <c r="F75" s="143"/>
      <c r="G75" s="143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</row>
    <row r="76" spans="1:19" ht="19.5">
      <c r="A76" s="136"/>
      <c r="B76" s="143"/>
      <c r="C76" s="143"/>
      <c r="D76" s="143"/>
      <c r="E76" s="143"/>
      <c r="F76" s="143"/>
      <c r="G76" s="143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</row>
    <row r="77" spans="1:19" ht="19.5">
      <c r="A77" s="136"/>
      <c r="B77" s="143"/>
      <c r="C77" s="143"/>
      <c r="D77" s="143"/>
      <c r="E77" s="143"/>
      <c r="F77" s="143"/>
      <c r="G77" s="143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</row>
    <row r="78" spans="1:19" ht="19.5">
      <c r="A78" s="136"/>
      <c r="B78" s="143"/>
      <c r="C78" s="143"/>
      <c r="D78" s="143"/>
      <c r="E78" s="143"/>
      <c r="F78" s="143"/>
      <c r="G78" s="143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</row>
    <row r="79" spans="1:19" ht="19.5">
      <c r="A79" s="136"/>
      <c r="B79" s="143"/>
      <c r="C79" s="143"/>
      <c r="D79" s="143"/>
      <c r="E79" s="143"/>
      <c r="F79" s="143"/>
      <c r="G79" s="143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</row>
    <row r="80" spans="1:19" ht="19.5">
      <c r="A80" s="136"/>
      <c r="B80" s="143"/>
      <c r="C80" s="143"/>
      <c r="D80" s="143"/>
      <c r="E80" s="143"/>
      <c r="F80" s="143"/>
      <c r="G80" s="143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</row>
    <row r="81" spans="1:19" ht="19.5">
      <c r="A81" s="136"/>
      <c r="B81" s="143"/>
      <c r="C81" s="143"/>
      <c r="D81" s="143"/>
      <c r="E81" s="143"/>
      <c r="F81" s="143"/>
      <c r="G81" s="143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</row>
    <row r="82" spans="1:19" ht="19.5">
      <c r="A82" s="136"/>
      <c r="B82" s="143"/>
      <c r="C82" s="143"/>
      <c r="D82" s="143"/>
      <c r="E82" s="143"/>
      <c r="F82" s="143"/>
      <c r="G82" s="143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</row>
    <row r="83" spans="1:19" ht="19.5">
      <c r="A83" s="136"/>
      <c r="B83" s="143"/>
      <c r="C83" s="143"/>
      <c r="D83" s="143"/>
      <c r="E83" s="143"/>
      <c r="F83" s="143"/>
      <c r="G83" s="143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</row>
    <row r="84" spans="1:19" ht="19.5">
      <c r="A84" s="136"/>
      <c r="B84" s="143"/>
      <c r="C84" s="143"/>
      <c r="D84" s="143"/>
      <c r="E84" s="143"/>
      <c r="F84" s="143"/>
      <c r="G84" s="143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</row>
    <row r="85" spans="1:19" ht="19.5">
      <c r="A85" s="136"/>
      <c r="B85" s="143"/>
      <c r="C85" s="143"/>
      <c r="D85" s="143"/>
      <c r="E85" s="143"/>
      <c r="F85" s="143"/>
      <c r="G85" s="143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</row>
    <row r="86" spans="1:19" ht="19.5">
      <c r="A86" s="136"/>
      <c r="B86" s="143"/>
      <c r="C86" s="143"/>
      <c r="D86" s="143"/>
      <c r="E86" s="143"/>
      <c r="F86" s="143"/>
      <c r="G86" s="143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</row>
    <row r="87" spans="1:19" ht="19.5">
      <c r="A87" s="136"/>
      <c r="B87" s="143"/>
      <c r="C87" s="143"/>
      <c r="D87" s="143"/>
      <c r="E87" s="143"/>
      <c r="F87" s="143"/>
      <c r="G87" s="143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</row>
    <row r="88" spans="1:19" ht="19.5">
      <c r="A88" s="136"/>
      <c r="B88" s="143"/>
      <c r="C88" s="143"/>
      <c r="D88" s="143"/>
      <c r="E88" s="143"/>
      <c r="F88" s="143"/>
      <c r="G88" s="143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</row>
    <row r="89" spans="1:19" ht="19.5">
      <c r="A89" s="136"/>
      <c r="B89" s="143"/>
      <c r="C89" s="143"/>
      <c r="D89" s="143"/>
      <c r="E89" s="143"/>
      <c r="F89" s="143"/>
      <c r="G89" s="143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</row>
    <row r="90" spans="1:19" ht="19.5">
      <c r="A90" s="136"/>
      <c r="B90" s="143"/>
      <c r="C90" s="143"/>
      <c r="D90" s="143"/>
      <c r="E90" s="143"/>
      <c r="F90" s="143"/>
      <c r="G90" s="143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</row>
    <row r="91" spans="1:19" ht="19.5">
      <c r="A91" s="136"/>
      <c r="B91" s="143"/>
      <c r="C91" s="143"/>
      <c r="D91" s="143"/>
      <c r="E91" s="143"/>
      <c r="F91" s="143"/>
      <c r="G91" s="143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</row>
    <row r="92" spans="1:19" ht="19.5">
      <c r="A92" s="136"/>
      <c r="B92" s="143"/>
      <c r="C92" s="143"/>
      <c r="D92" s="143"/>
      <c r="E92" s="143"/>
      <c r="F92" s="143"/>
      <c r="G92" s="143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</row>
    <row r="93" spans="1:19" ht="19.5">
      <c r="A93" s="136"/>
      <c r="B93" s="143"/>
      <c r="C93" s="143"/>
      <c r="D93" s="143"/>
      <c r="E93" s="143"/>
      <c r="F93" s="143"/>
      <c r="G93" s="143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</row>
    <row r="94" spans="1:19" ht="19.5">
      <c r="A94" s="136"/>
      <c r="B94" s="143"/>
      <c r="C94" s="143"/>
      <c r="D94" s="143"/>
      <c r="E94" s="143"/>
      <c r="F94" s="143"/>
      <c r="G94" s="143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</row>
    <row r="95" spans="1:19" ht="19.5">
      <c r="A95" s="136"/>
      <c r="B95" s="143"/>
      <c r="C95" s="143"/>
      <c r="D95" s="143"/>
      <c r="E95" s="143"/>
      <c r="F95" s="143"/>
      <c r="G95" s="143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</row>
    <row r="96" spans="1:19" ht="19.5">
      <c r="A96" s="136"/>
      <c r="B96" s="143"/>
      <c r="C96" s="143"/>
      <c r="D96" s="143"/>
      <c r="E96" s="143"/>
      <c r="F96" s="143"/>
      <c r="G96" s="143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</row>
    <row r="97" spans="1:19" ht="19.5">
      <c r="A97" s="136"/>
      <c r="B97" s="143"/>
      <c r="C97" s="143"/>
      <c r="D97" s="143"/>
      <c r="E97" s="143"/>
      <c r="F97" s="143"/>
      <c r="G97" s="143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</row>
    <row r="98" spans="1:19" ht="19.5">
      <c r="A98" s="136"/>
      <c r="B98" s="143"/>
      <c r="C98" s="143"/>
      <c r="D98" s="143"/>
      <c r="E98" s="143"/>
      <c r="F98" s="143"/>
      <c r="G98" s="143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</row>
    <row r="99" spans="1:19" ht="19.5">
      <c r="A99" s="136"/>
      <c r="B99" s="143"/>
      <c r="C99" s="143"/>
      <c r="D99" s="143"/>
      <c r="E99" s="143"/>
      <c r="F99" s="143"/>
      <c r="G99" s="143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</row>
    <row r="100" spans="1:19" ht="19.5">
      <c r="A100" s="136"/>
      <c r="B100" s="143"/>
      <c r="C100" s="143"/>
      <c r="D100" s="143"/>
      <c r="E100" s="143"/>
      <c r="F100" s="143"/>
      <c r="G100" s="143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</row>
    <row r="101" spans="1:19" ht="19.5">
      <c r="A101" s="136"/>
      <c r="B101" s="143"/>
      <c r="C101" s="143"/>
      <c r="D101" s="143"/>
      <c r="E101" s="143"/>
      <c r="F101" s="143"/>
      <c r="G101" s="143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</row>
    <row r="102" spans="1:19" ht="19.5">
      <c r="A102" s="136"/>
      <c r="B102" s="143"/>
      <c r="C102" s="143"/>
      <c r="D102" s="143"/>
      <c r="E102" s="143"/>
      <c r="F102" s="143"/>
      <c r="G102" s="143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</row>
    <row r="103" spans="1:19" ht="19.5">
      <c r="A103" s="136"/>
      <c r="B103" s="143"/>
      <c r="C103" s="143"/>
      <c r="D103" s="143"/>
      <c r="E103" s="143"/>
      <c r="F103" s="143"/>
      <c r="G103" s="143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</row>
    <row r="104" spans="1:19" ht="19.5">
      <c r="A104" s="136"/>
      <c r="B104" s="143"/>
      <c r="C104" s="143"/>
      <c r="D104" s="143"/>
      <c r="E104" s="143"/>
      <c r="F104" s="143"/>
      <c r="G104" s="143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</row>
    <row r="105" spans="1:19" ht="19.5">
      <c r="A105" s="136"/>
      <c r="B105" s="143"/>
      <c r="C105" s="143"/>
      <c r="D105" s="143"/>
      <c r="E105" s="143"/>
      <c r="F105" s="143"/>
      <c r="G105" s="143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</row>
    <row r="106" spans="1:19" ht="19.5">
      <c r="A106" s="136"/>
      <c r="B106" s="143"/>
      <c r="C106" s="143"/>
      <c r="D106" s="143"/>
      <c r="E106" s="143"/>
      <c r="F106" s="143"/>
      <c r="G106" s="143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</row>
    <row r="107" spans="1:19" ht="19.5">
      <c r="A107" s="136"/>
      <c r="B107" s="143"/>
      <c r="C107" s="143"/>
      <c r="D107" s="143"/>
      <c r="E107" s="143"/>
      <c r="F107" s="143"/>
      <c r="G107" s="143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</row>
    <row r="108" spans="1:19" ht="19.5">
      <c r="A108" s="136"/>
      <c r="B108" s="143"/>
      <c r="C108" s="143"/>
      <c r="D108" s="143"/>
      <c r="E108" s="143"/>
      <c r="F108" s="143"/>
      <c r="G108" s="143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</row>
    <row r="109" spans="1:19" ht="19.5">
      <c r="A109" s="136"/>
      <c r="B109" s="143"/>
      <c r="C109" s="143"/>
      <c r="D109" s="143"/>
      <c r="E109" s="143"/>
      <c r="F109" s="143"/>
      <c r="G109" s="143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</row>
    <row r="110" spans="1:19" ht="19.5">
      <c r="A110" s="136"/>
      <c r="B110" s="143"/>
      <c r="C110" s="143"/>
      <c r="D110" s="143"/>
      <c r="E110" s="143"/>
      <c r="F110" s="143"/>
      <c r="G110" s="143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</row>
    <row r="111" spans="1:19" ht="19.5">
      <c r="A111" s="136"/>
      <c r="B111" s="143"/>
      <c r="C111" s="143"/>
      <c r="D111" s="143"/>
      <c r="E111" s="143"/>
      <c r="F111" s="143"/>
      <c r="G111" s="143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</row>
    <row r="112" spans="1:19" ht="19.5">
      <c r="A112" s="136"/>
      <c r="B112" s="143"/>
      <c r="C112" s="143"/>
      <c r="D112" s="143"/>
      <c r="E112" s="143"/>
      <c r="F112" s="143"/>
      <c r="G112" s="143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</row>
    <row r="113" spans="1:19" ht="19.5">
      <c r="A113" s="136"/>
      <c r="B113" s="143"/>
      <c r="C113" s="143"/>
      <c r="D113" s="143"/>
      <c r="E113" s="143"/>
      <c r="F113" s="143"/>
      <c r="G113" s="143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</row>
    <row r="114" spans="1:19" ht="19.5">
      <c r="A114" s="136"/>
      <c r="B114" s="143"/>
      <c r="C114" s="143"/>
      <c r="D114" s="143"/>
      <c r="E114" s="143"/>
      <c r="F114" s="143"/>
      <c r="G114" s="143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</row>
    <row r="115" spans="1:19" ht="19.5">
      <c r="A115" s="136"/>
      <c r="B115" s="143"/>
      <c r="C115" s="143"/>
      <c r="D115" s="143"/>
      <c r="E115" s="143"/>
      <c r="F115" s="143"/>
      <c r="G115" s="143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</row>
    <row r="116" spans="1:19" ht="19.5">
      <c r="A116" s="136"/>
      <c r="B116" s="143"/>
      <c r="C116" s="143"/>
      <c r="D116" s="143"/>
      <c r="E116" s="143"/>
      <c r="F116" s="143"/>
      <c r="G116" s="143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</row>
    <row r="117" spans="1:19" ht="19.5">
      <c r="A117" s="136"/>
      <c r="B117" s="143"/>
      <c r="C117" s="143"/>
      <c r="D117" s="143"/>
      <c r="E117" s="143"/>
      <c r="F117" s="143"/>
      <c r="G117" s="143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</row>
    <row r="118" spans="1:19" ht="19.5">
      <c r="A118" s="136"/>
      <c r="B118" s="143"/>
      <c r="C118" s="143"/>
      <c r="D118" s="143"/>
      <c r="E118" s="143"/>
      <c r="F118" s="143"/>
      <c r="G118" s="143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</row>
    <row r="119" spans="1:19" ht="19.5">
      <c r="A119" s="136"/>
      <c r="B119" s="143"/>
      <c r="C119" s="143"/>
      <c r="D119" s="143"/>
      <c r="E119" s="143"/>
      <c r="F119" s="143"/>
      <c r="G119" s="143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</row>
    <row r="120" spans="1:19" ht="19.5">
      <c r="A120" s="136"/>
      <c r="B120" s="143"/>
      <c r="C120" s="143"/>
      <c r="D120" s="143"/>
      <c r="E120" s="143"/>
      <c r="F120" s="143"/>
      <c r="G120" s="143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</row>
    <row r="121" spans="1:19" ht="19.5">
      <c r="A121" s="136"/>
      <c r="B121" s="143"/>
      <c r="C121" s="143"/>
      <c r="D121" s="143"/>
      <c r="E121" s="143"/>
      <c r="F121" s="143"/>
      <c r="G121" s="143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</row>
    <row r="122" spans="1:19" ht="19.5">
      <c r="A122" s="136"/>
      <c r="B122" s="143"/>
      <c r="C122" s="143"/>
      <c r="D122" s="143"/>
      <c r="E122" s="143"/>
      <c r="F122" s="143"/>
      <c r="G122" s="143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</row>
    <row r="123" spans="1:19" ht="19.5">
      <c r="A123" s="136"/>
      <c r="B123" s="143"/>
      <c r="C123" s="143"/>
      <c r="D123" s="143"/>
      <c r="E123" s="143"/>
      <c r="F123" s="143"/>
      <c r="G123" s="143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</row>
    <row r="124" spans="1:19" ht="19.5">
      <c r="A124" s="136"/>
      <c r="B124" s="143"/>
      <c r="C124" s="143"/>
      <c r="D124" s="143"/>
      <c r="E124" s="143"/>
      <c r="F124" s="143"/>
      <c r="G124" s="143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</row>
    <row r="125" spans="1:19" ht="19.5">
      <c r="A125" s="136"/>
      <c r="B125" s="143"/>
      <c r="C125" s="143"/>
      <c r="D125" s="143"/>
      <c r="E125" s="143"/>
      <c r="F125" s="143"/>
      <c r="G125" s="143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</row>
    <row r="126" spans="1:19" ht="19.5">
      <c r="A126" s="136"/>
      <c r="B126" s="143"/>
      <c r="C126" s="143"/>
      <c r="D126" s="143"/>
      <c r="E126" s="143"/>
      <c r="F126" s="143"/>
      <c r="G126" s="143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</row>
    <row r="127" spans="1:19" ht="19.5">
      <c r="A127" s="136"/>
      <c r="B127" s="143"/>
      <c r="C127" s="143"/>
      <c r="D127" s="143"/>
      <c r="E127" s="143"/>
      <c r="F127" s="143"/>
      <c r="G127" s="143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</row>
    <row r="128" spans="1:19" ht="19.5">
      <c r="A128" s="136"/>
      <c r="B128" s="143"/>
      <c r="C128" s="143"/>
      <c r="D128" s="143"/>
      <c r="E128" s="143"/>
      <c r="F128" s="143"/>
      <c r="G128" s="143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</row>
    <row r="129" spans="1:19" ht="19.5">
      <c r="A129" s="136"/>
      <c r="B129" s="143"/>
      <c r="C129" s="143"/>
      <c r="D129" s="143"/>
      <c r="E129" s="143"/>
      <c r="F129" s="143"/>
      <c r="G129" s="143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</row>
    <row r="130" spans="1:19" ht="19.5">
      <c r="A130" s="136"/>
      <c r="B130" s="143"/>
      <c r="C130" s="143"/>
      <c r="D130" s="143"/>
      <c r="E130" s="143"/>
      <c r="F130" s="143"/>
      <c r="G130" s="143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</row>
    <row r="131" spans="1:19" ht="19.5">
      <c r="A131" s="136"/>
      <c r="B131" s="143"/>
      <c r="C131" s="143"/>
      <c r="D131" s="143"/>
      <c r="E131" s="143"/>
      <c r="F131" s="143"/>
      <c r="G131" s="143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</row>
    <row r="132" spans="1:19" ht="19.5">
      <c r="A132" s="136"/>
      <c r="B132" s="143"/>
      <c r="C132" s="143"/>
      <c r="D132" s="143"/>
      <c r="E132" s="143"/>
      <c r="F132" s="143"/>
      <c r="G132" s="143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</row>
    <row r="133" spans="1:19" ht="19.5">
      <c r="A133" s="136"/>
      <c r="B133" s="143"/>
      <c r="C133" s="143"/>
      <c r="D133" s="143"/>
      <c r="E133" s="143"/>
      <c r="F133" s="143"/>
      <c r="G133" s="143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</row>
    <row r="134" spans="1:19" ht="19.5">
      <c r="A134" s="136"/>
      <c r="B134" s="143"/>
      <c r="C134" s="143"/>
      <c r="D134" s="143"/>
      <c r="E134" s="143"/>
      <c r="F134" s="143"/>
      <c r="G134" s="143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</row>
    <row r="135" spans="1:19" ht="19.5">
      <c r="A135" s="136"/>
      <c r="B135" s="143"/>
      <c r="C135" s="143"/>
      <c r="D135" s="143"/>
      <c r="E135" s="143"/>
      <c r="F135" s="143"/>
      <c r="G135" s="143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</row>
    <row r="136" spans="1:19" ht="19.5">
      <c r="A136" s="136"/>
      <c r="B136" s="143"/>
      <c r="C136" s="143"/>
      <c r="D136" s="143"/>
      <c r="E136" s="143"/>
      <c r="F136" s="143"/>
      <c r="G136" s="143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</row>
    <row r="137" spans="1:19" ht="19.5">
      <c r="A137" s="136"/>
      <c r="B137" s="143"/>
      <c r="C137" s="143"/>
      <c r="D137" s="143"/>
      <c r="E137" s="143"/>
      <c r="F137" s="143"/>
      <c r="G137" s="143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</row>
    <row r="138" spans="1:19" ht="19.5">
      <c r="A138" s="136"/>
      <c r="B138" s="143"/>
      <c r="C138" s="143"/>
      <c r="D138" s="143"/>
      <c r="E138" s="143"/>
      <c r="F138" s="143"/>
      <c r="G138" s="143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</row>
    <row r="139" spans="1:19" ht="19.5">
      <c r="A139" s="136"/>
      <c r="B139" s="143"/>
      <c r="C139" s="143"/>
      <c r="D139" s="143"/>
      <c r="E139" s="143"/>
      <c r="F139" s="143"/>
      <c r="G139" s="143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</row>
    <row r="140" spans="1:19" ht="19.5">
      <c r="A140" s="136"/>
      <c r="B140" s="143"/>
      <c r="C140" s="143"/>
      <c r="D140" s="143"/>
      <c r="E140" s="143"/>
      <c r="F140" s="143"/>
      <c r="G140" s="143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</row>
    <row r="141" spans="1:19" ht="19.5">
      <c r="A141" s="136"/>
      <c r="B141" s="143"/>
      <c r="C141" s="143"/>
      <c r="D141" s="143"/>
      <c r="E141" s="143"/>
      <c r="F141" s="143"/>
      <c r="G141" s="143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</row>
    <row r="142" spans="1:19" ht="19.5">
      <c r="A142" s="136"/>
      <c r="B142" s="143"/>
      <c r="C142" s="143"/>
      <c r="D142" s="143"/>
      <c r="E142" s="143"/>
      <c r="F142" s="143"/>
      <c r="G142" s="143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</row>
    <row r="143" spans="1:19" ht="19.5">
      <c r="A143" s="136"/>
      <c r="B143" s="143"/>
      <c r="C143" s="143"/>
      <c r="D143" s="143"/>
      <c r="E143" s="143"/>
      <c r="F143" s="143"/>
      <c r="G143" s="143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</row>
    <row r="144" spans="1:19" ht="19.5">
      <c r="A144" s="136"/>
      <c r="B144" s="143"/>
      <c r="C144" s="143"/>
      <c r="D144" s="143"/>
      <c r="E144" s="143"/>
      <c r="F144" s="143"/>
      <c r="G144" s="143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</row>
    <row r="145" spans="1:19" ht="19.5">
      <c r="A145" s="136"/>
      <c r="B145" s="143"/>
      <c r="C145" s="143"/>
      <c r="D145" s="143"/>
      <c r="E145" s="143"/>
      <c r="F145" s="143"/>
      <c r="G145" s="143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</row>
    <row r="146" spans="1:19" ht="19.5">
      <c r="A146" s="136"/>
      <c r="B146" s="143"/>
      <c r="C146" s="143"/>
      <c r="D146" s="143"/>
      <c r="E146" s="143"/>
      <c r="F146" s="143"/>
      <c r="G146" s="143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</row>
    <row r="147" spans="1:19" ht="19.5">
      <c r="A147" s="136"/>
      <c r="B147" s="143"/>
      <c r="C147" s="143"/>
      <c r="D147" s="143"/>
      <c r="E147" s="143"/>
      <c r="F147" s="143"/>
      <c r="G147" s="143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</row>
    <row r="148" spans="1:19" ht="19.5">
      <c r="A148" s="136"/>
      <c r="B148" s="143"/>
      <c r="C148" s="143"/>
      <c r="D148" s="143"/>
      <c r="E148" s="143"/>
      <c r="F148" s="143"/>
      <c r="G148" s="143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</row>
    <row r="149" spans="1:19" ht="19.5">
      <c r="A149" s="136"/>
      <c r="B149" s="143"/>
      <c r="C149" s="143"/>
      <c r="D149" s="143"/>
      <c r="E149" s="143"/>
      <c r="F149" s="143"/>
      <c r="G149" s="143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</row>
    <row r="150" spans="1:19" ht="19.5">
      <c r="A150" s="136"/>
      <c r="B150" s="143"/>
      <c r="C150" s="143"/>
      <c r="D150" s="143"/>
      <c r="E150" s="143"/>
      <c r="F150" s="143"/>
      <c r="G150" s="143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</row>
    <row r="151" spans="1:19" ht="19.5">
      <c r="A151" s="136"/>
      <c r="B151" s="143"/>
      <c r="C151" s="143"/>
      <c r="D151" s="143"/>
      <c r="E151" s="143"/>
      <c r="F151" s="143"/>
      <c r="G151" s="143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</row>
    <row r="152" spans="1:19" ht="19.5">
      <c r="A152" s="136"/>
      <c r="B152" s="143"/>
      <c r="C152" s="143"/>
      <c r="D152" s="143"/>
      <c r="E152" s="143"/>
      <c r="F152" s="143"/>
      <c r="G152" s="143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</row>
    <row r="153" spans="1:19" ht="19.5">
      <c r="A153" s="136"/>
      <c r="B153" s="143"/>
      <c r="C153" s="143"/>
      <c r="D153" s="143"/>
      <c r="E153" s="143"/>
      <c r="F153" s="143"/>
      <c r="G153" s="143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</row>
    <row r="154" spans="1:19" ht="19.5">
      <c r="A154" s="136"/>
      <c r="B154" s="143"/>
      <c r="C154" s="143"/>
      <c r="D154" s="143"/>
      <c r="E154" s="143"/>
      <c r="F154" s="143"/>
      <c r="G154" s="143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</row>
    <row r="155" spans="1:19" ht="19.5">
      <c r="A155" s="136"/>
      <c r="B155" s="143"/>
      <c r="C155" s="143"/>
      <c r="D155" s="143"/>
      <c r="E155" s="143"/>
      <c r="F155" s="143"/>
      <c r="G155" s="143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</row>
    <row r="156" spans="1:19" ht="19.5">
      <c r="A156" s="136"/>
      <c r="B156" s="143"/>
      <c r="C156" s="143"/>
      <c r="D156" s="143"/>
      <c r="E156" s="143"/>
      <c r="F156" s="143"/>
      <c r="G156" s="143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</row>
    <row r="157" spans="1:19" ht="19.5">
      <c r="A157" s="136"/>
      <c r="B157" s="143"/>
      <c r="C157" s="143"/>
      <c r="D157" s="143"/>
      <c r="E157" s="143"/>
      <c r="F157" s="143"/>
      <c r="G157" s="143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</row>
    <row r="158" spans="1:19" ht="19.5">
      <c r="A158" s="136"/>
      <c r="B158" s="143"/>
      <c r="C158" s="143"/>
      <c r="D158" s="143"/>
      <c r="E158" s="143"/>
      <c r="F158" s="143"/>
      <c r="G158" s="143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</row>
    <row r="159" spans="1:19" ht="19.5">
      <c r="A159" s="136"/>
      <c r="B159" s="143"/>
      <c r="C159" s="143"/>
      <c r="D159" s="143"/>
      <c r="E159" s="143"/>
      <c r="F159" s="143"/>
      <c r="G159" s="143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</row>
    <row r="160" spans="1:19" ht="19.5">
      <c r="A160" s="136"/>
      <c r="B160" s="143"/>
      <c r="C160" s="143"/>
      <c r="D160" s="143"/>
      <c r="E160" s="143"/>
      <c r="F160" s="143"/>
      <c r="G160" s="143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</row>
    <row r="161" spans="1:19" ht="19.5">
      <c r="A161" s="136"/>
      <c r="B161" s="143"/>
      <c r="C161" s="143"/>
      <c r="D161" s="143"/>
      <c r="E161" s="143"/>
      <c r="F161" s="143"/>
      <c r="G161" s="143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</row>
    <row r="162" spans="1:19" ht="19.5">
      <c r="A162" s="136"/>
      <c r="B162" s="143"/>
      <c r="C162" s="143"/>
      <c r="D162" s="143"/>
      <c r="E162" s="143"/>
      <c r="F162" s="143"/>
      <c r="G162" s="143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</row>
    <row r="163" spans="1:19" ht="19.5">
      <c r="A163" s="136"/>
      <c r="B163" s="143"/>
      <c r="C163" s="143"/>
      <c r="D163" s="143"/>
      <c r="E163" s="143"/>
      <c r="F163" s="143"/>
      <c r="G163" s="143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</row>
    <row r="164" spans="1:19" ht="19.5">
      <c r="A164" s="136"/>
      <c r="B164" s="143"/>
      <c r="C164" s="143"/>
      <c r="D164" s="143"/>
      <c r="E164" s="143"/>
      <c r="F164" s="143"/>
      <c r="G164" s="143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</row>
    <row r="165" spans="1:19" ht="19.5">
      <c r="A165" s="136"/>
      <c r="B165" s="143"/>
      <c r="C165" s="143"/>
      <c r="D165" s="143"/>
      <c r="E165" s="143"/>
      <c r="F165" s="143"/>
      <c r="G165" s="143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</row>
    <row r="166" spans="1:19" ht="19.5">
      <c r="A166" s="136"/>
      <c r="B166" s="143"/>
      <c r="C166" s="143"/>
      <c r="D166" s="143"/>
      <c r="E166" s="143"/>
      <c r="F166" s="143"/>
      <c r="G166" s="143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</row>
    <row r="167" spans="1:19" ht="19.5">
      <c r="A167" s="136"/>
      <c r="B167" s="143"/>
      <c r="C167" s="143"/>
      <c r="D167" s="143"/>
      <c r="E167" s="143"/>
      <c r="F167" s="143"/>
      <c r="G167" s="143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</row>
    <row r="168" spans="1:19" ht="19.5">
      <c r="A168" s="136"/>
      <c r="B168" s="143"/>
      <c r="C168" s="143"/>
      <c r="D168" s="143"/>
      <c r="E168" s="143"/>
      <c r="F168" s="143"/>
      <c r="G168" s="143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</row>
    <row r="169" spans="1:19" ht="19.5">
      <c r="A169" s="136"/>
      <c r="B169" s="143"/>
      <c r="C169" s="143"/>
      <c r="D169" s="143"/>
      <c r="E169" s="143"/>
      <c r="F169" s="143"/>
      <c r="G169" s="143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</row>
    <row r="170" spans="1:19" ht="19.5">
      <c r="A170" s="136"/>
      <c r="B170" s="143"/>
      <c r="C170" s="143"/>
      <c r="D170" s="143"/>
      <c r="E170" s="143"/>
      <c r="F170" s="143"/>
      <c r="G170" s="143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</row>
    <row r="171" spans="1:19" ht="19.5">
      <c r="A171" s="136"/>
      <c r="B171" s="143"/>
      <c r="C171" s="143"/>
      <c r="D171" s="143"/>
      <c r="E171" s="143"/>
      <c r="F171" s="143"/>
      <c r="G171" s="143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</row>
    <row r="172" spans="1:19" ht="19.5">
      <c r="A172" s="136"/>
      <c r="B172" s="143"/>
      <c r="C172" s="143"/>
      <c r="D172" s="143"/>
      <c r="E172" s="143"/>
      <c r="F172" s="143"/>
      <c r="G172" s="143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</row>
    <row r="173" spans="1:19" ht="19.5">
      <c r="A173" s="136"/>
      <c r="B173" s="143"/>
      <c r="C173" s="143"/>
      <c r="D173" s="143"/>
      <c r="E173" s="143"/>
      <c r="F173" s="143"/>
      <c r="G173" s="143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</row>
    <row r="174" spans="1:19" ht="19.5">
      <c r="A174" s="136"/>
      <c r="B174" s="143"/>
      <c r="C174" s="143"/>
      <c r="D174" s="143"/>
      <c r="E174" s="143"/>
      <c r="F174" s="143"/>
      <c r="G174" s="143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</row>
    <row r="175" spans="1:19" ht="19.5">
      <c r="A175" s="136"/>
      <c r="B175" s="143"/>
      <c r="C175" s="143"/>
      <c r="D175" s="143"/>
      <c r="E175" s="143"/>
      <c r="F175" s="143"/>
      <c r="G175" s="143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</row>
    <row r="176" spans="1:19" ht="19.5">
      <c r="A176" s="136"/>
      <c r="B176" s="143"/>
      <c r="C176" s="143"/>
      <c r="D176" s="143"/>
      <c r="E176" s="143"/>
      <c r="F176" s="143"/>
      <c r="G176" s="143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</row>
    <row r="177" spans="1:19" ht="19.5">
      <c r="A177" s="136"/>
      <c r="B177" s="143"/>
      <c r="C177" s="143"/>
      <c r="D177" s="143"/>
      <c r="E177" s="143"/>
      <c r="F177" s="143"/>
      <c r="G177" s="143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</row>
    <row r="178" spans="1:19" ht="19.5">
      <c r="A178" s="136"/>
      <c r="B178" s="143"/>
      <c r="C178" s="143"/>
      <c r="D178" s="143"/>
      <c r="E178" s="143"/>
      <c r="F178" s="143"/>
      <c r="G178" s="143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</row>
    <row r="179" spans="1:19" ht="19.5">
      <c r="A179" s="136"/>
      <c r="B179" s="143"/>
      <c r="C179" s="143"/>
      <c r="D179" s="143"/>
      <c r="E179" s="143"/>
      <c r="F179" s="143"/>
      <c r="G179" s="143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</row>
    <row r="180" spans="1:19" ht="19.5">
      <c r="A180" s="136"/>
      <c r="B180" s="143"/>
      <c r="C180" s="143"/>
      <c r="D180" s="143"/>
      <c r="E180" s="143"/>
      <c r="F180" s="143"/>
      <c r="G180" s="143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</row>
    <row r="181" spans="1:19" ht="19.5">
      <c r="A181" s="136"/>
      <c r="B181" s="143"/>
      <c r="C181" s="143"/>
      <c r="D181" s="143"/>
      <c r="E181" s="143"/>
      <c r="F181" s="143"/>
      <c r="G181" s="143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</row>
    <row r="182" spans="1:19" ht="19.5">
      <c r="A182" s="136"/>
      <c r="B182" s="143"/>
      <c r="C182" s="143"/>
      <c r="D182" s="143"/>
      <c r="E182" s="143"/>
      <c r="F182" s="143"/>
      <c r="G182" s="143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</row>
    <row r="183" spans="1:19" ht="19.5">
      <c r="A183" s="136"/>
      <c r="B183" s="143"/>
      <c r="C183" s="143"/>
      <c r="D183" s="143"/>
      <c r="E183" s="143"/>
      <c r="F183" s="143"/>
      <c r="G183" s="143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</row>
    <row r="184" spans="1:19" ht="19.5">
      <c r="A184" s="136"/>
      <c r="B184" s="143"/>
      <c r="C184" s="143"/>
      <c r="D184" s="143"/>
      <c r="E184" s="143"/>
      <c r="F184" s="143"/>
      <c r="G184" s="143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</row>
    <row r="185" spans="1:19" ht="19.5">
      <c r="A185" s="136"/>
      <c r="B185" s="143"/>
      <c r="C185" s="143"/>
      <c r="D185" s="143"/>
      <c r="E185" s="143"/>
      <c r="F185" s="143"/>
      <c r="G185" s="143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</row>
    <row r="186" spans="1:19" ht="19.5">
      <c r="A186" s="136"/>
      <c r="B186" s="143"/>
      <c r="C186" s="143"/>
      <c r="D186" s="143"/>
      <c r="E186" s="143"/>
      <c r="F186" s="143"/>
      <c r="G186" s="143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</row>
    <row r="187" spans="1:19" ht="19.5">
      <c r="A187" s="136"/>
      <c r="B187" s="143"/>
      <c r="C187" s="143"/>
      <c r="D187" s="143"/>
      <c r="E187" s="143"/>
      <c r="F187" s="143"/>
      <c r="G187" s="143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</row>
    <row r="188" spans="1:19" ht="19.5">
      <c r="A188" s="136"/>
      <c r="B188" s="143"/>
      <c r="C188" s="143"/>
      <c r="D188" s="143"/>
      <c r="E188" s="143"/>
      <c r="F188" s="143"/>
      <c r="G188" s="143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</row>
    <row r="189" spans="1:19" ht="19.5">
      <c r="A189" s="136"/>
      <c r="B189" s="143"/>
      <c r="C189" s="143"/>
      <c r="D189" s="143"/>
      <c r="E189" s="143"/>
      <c r="F189" s="143"/>
      <c r="G189" s="143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</row>
    <row r="190" spans="1:19" ht="19.5">
      <c r="A190" s="136"/>
      <c r="B190" s="143"/>
      <c r="C190" s="143"/>
      <c r="D190" s="143"/>
      <c r="E190" s="143"/>
      <c r="F190" s="143"/>
      <c r="G190" s="143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</row>
    <row r="191" spans="1:19" ht="19.5">
      <c r="A191" s="136"/>
      <c r="B191" s="143"/>
      <c r="C191" s="143"/>
      <c r="D191" s="143"/>
      <c r="E191" s="143"/>
      <c r="F191" s="143"/>
      <c r="G191" s="143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</row>
    <row r="192" spans="1:19" ht="19.5">
      <c r="A192" s="136"/>
      <c r="B192" s="143"/>
      <c r="C192" s="143"/>
      <c r="D192" s="143"/>
      <c r="E192" s="143"/>
      <c r="F192" s="143"/>
      <c r="G192" s="143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</row>
    <row r="193" spans="1:19" ht="19.5">
      <c r="A193" s="136"/>
      <c r="B193" s="143"/>
      <c r="C193" s="143"/>
      <c r="D193" s="143"/>
      <c r="E193" s="143"/>
      <c r="F193" s="143"/>
      <c r="G193" s="143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</row>
    <row r="194" spans="1:19" ht="19.5">
      <c r="A194" s="136"/>
      <c r="B194" s="143"/>
      <c r="C194" s="143"/>
      <c r="D194" s="143"/>
      <c r="E194" s="143"/>
      <c r="F194" s="143"/>
      <c r="G194" s="143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</row>
    <row r="195" spans="1:19" ht="19.5">
      <c r="A195" s="136"/>
      <c r="B195" s="143"/>
      <c r="C195" s="143"/>
      <c r="D195" s="143"/>
      <c r="E195" s="143"/>
      <c r="F195" s="143"/>
      <c r="G195" s="143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</row>
    <row r="196" spans="1:19" ht="19.5">
      <c r="A196" s="136"/>
      <c r="B196" s="143"/>
      <c r="C196" s="143"/>
      <c r="D196" s="143"/>
      <c r="E196" s="143"/>
      <c r="F196" s="143"/>
      <c r="G196" s="143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</row>
    <row r="197" spans="1:19" ht="19.5">
      <c r="A197" s="136"/>
      <c r="B197" s="143"/>
      <c r="C197" s="143"/>
      <c r="D197" s="143"/>
      <c r="E197" s="143"/>
      <c r="F197" s="143"/>
      <c r="G197" s="143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</row>
    <row r="198" spans="1:19" ht="19.5">
      <c r="A198" s="136"/>
      <c r="B198" s="143"/>
      <c r="C198" s="143"/>
      <c r="D198" s="143"/>
      <c r="E198" s="143"/>
      <c r="F198" s="143"/>
      <c r="G198" s="143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</row>
    <row r="199" spans="1:19" ht="19.5">
      <c r="A199" s="136"/>
      <c r="B199" s="143"/>
      <c r="C199" s="143"/>
      <c r="D199" s="143"/>
      <c r="E199" s="143"/>
      <c r="F199" s="143"/>
      <c r="G199" s="143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</row>
    <row r="200" spans="1:19" ht="19.5">
      <c r="A200" s="136"/>
      <c r="B200" s="143"/>
      <c r="C200" s="143"/>
      <c r="D200" s="143"/>
      <c r="E200" s="143"/>
      <c r="F200" s="143"/>
      <c r="G200" s="143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</row>
    <row r="201" spans="1:19" ht="19.5">
      <c r="A201" s="136"/>
      <c r="B201" s="143"/>
      <c r="C201" s="143"/>
      <c r="D201" s="143"/>
      <c r="E201" s="143"/>
      <c r="F201" s="143"/>
      <c r="G201" s="143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</row>
    <row r="202" spans="1:19" ht="19.5">
      <c r="A202" s="136"/>
      <c r="B202" s="143"/>
      <c r="C202" s="143"/>
      <c r="D202" s="143"/>
      <c r="E202" s="143"/>
      <c r="F202" s="143"/>
      <c r="G202" s="143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</row>
    <row r="203" spans="1:19" ht="19.5">
      <c r="A203" s="136"/>
      <c r="B203" s="143"/>
      <c r="C203" s="143"/>
      <c r="D203" s="143"/>
      <c r="E203" s="143"/>
      <c r="F203" s="143"/>
      <c r="G203" s="143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</row>
    <row r="204" spans="1:19" ht="19.5">
      <c r="A204" s="136"/>
      <c r="B204" s="143"/>
      <c r="C204" s="143"/>
      <c r="D204" s="143"/>
      <c r="E204" s="143"/>
      <c r="F204" s="143"/>
      <c r="G204" s="143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</row>
    <row r="205" spans="1:19" ht="19.5">
      <c r="A205" s="136"/>
      <c r="B205" s="143"/>
      <c r="C205" s="143"/>
      <c r="D205" s="143"/>
      <c r="E205" s="143"/>
      <c r="F205" s="143"/>
      <c r="G205" s="143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</row>
    <row r="206" spans="1:19" ht="19.5">
      <c r="A206" s="136"/>
      <c r="B206" s="143"/>
      <c r="C206" s="143"/>
      <c r="D206" s="143"/>
      <c r="E206" s="143"/>
      <c r="F206" s="143"/>
      <c r="G206" s="143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</row>
    <row r="207" spans="1:19" ht="19.5">
      <c r="A207" s="136"/>
      <c r="B207" s="143"/>
      <c r="C207" s="143"/>
      <c r="D207" s="143"/>
      <c r="E207" s="143"/>
      <c r="F207" s="143"/>
      <c r="G207" s="143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</row>
    <row r="208" spans="1:19" ht="19.5">
      <c r="A208" s="136"/>
      <c r="B208" s="143"/>
      <c r="C208" s="143"/>
      <c r="D208" s="143"/>
      <c r="E208" s="143"/>
      <c r="F208" s="143"/>
      <c r="G208" s="143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</row>
    <row r="209" spans="1:19" ht="19.5">
      <c r="A209" s="136"/>
      <c r="B209" s="143"/>
      <c r="C209" s="143"/>
      <c r="D209" s="143"/>
      <c r="E209" s="143"/>
      <c r="F209" s="143"/>
      <c r="G209" s="143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</row>
    <row r="210" spans="1:19" ht="19.5">
      <c r="A210" s="136"/>
      <c r="B210" s="143"/>
      <c r="C210" s="143"/>
      <c r="D210" s="143"/>
      <c r="E210" s="143"/>
      <c r="F210" s="143"/>
      <c r="G210" s="143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</row>
    <row r="211" spans="1:19" ht="19.5">
      <c r="A211" s="136"/>
      <c r="B211" s="143"/>
      <c r="C211" s="143"/>
      <c r="D211" s="143"/>
      <c r="E211" s="143"/>
      <c r="F211" s="143"/>
      <c r="G211" s="143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</row>
    <row r="212" spans="1:19" ht="19.5">
      <c r="A212" s="136"/>
      <c r="B212" s="143"/>
      <c r="C212" s="143"/>
      <c r="D212" s="143"/>
      <c r="E212" s="143"/>
      <c r="F212" s="143"/>
      <c r="G212" s="143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</row>
    <row r="213" spans="1:19" ht="19.5">
      <c r="A213" s="136"/>
      <c r="B213" s="143"/>
      <c r="C213" s="143"/>
      <c r="D213" s="143"/>
      <c r="E213" s="143"/>
      <c r="F213" s="143"/>
      <c r="G213" s="143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</row>
    <row r="214" spans="1:19" ht="19.5">
      <c r="A214" s="136"/>
      <c r="B214" s="143"/>
      <c r="C214" s="143"/>
      <c r="D214" s="143"/>
      <c r="E214" s="143"/>
      <c r="F214" s="143"/>
      <c r="G214" s="143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</row>
    <row r="215" spans="1:19" ht="19.5">
      <c r="A215" s="136"/>
      <c r="B215" s="143"/>
      <c r="C215" s="143"/>
      <c r="D215" s="143"/>
      <c r="E215" s="143"/>
      <c r="F215" s="143"/>
      <c r="G215" s="143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</row>
    <row r="216" spans="1:19" ht="19.5">
      <c r="A216" s="136"/>
      <c r="B216" s="143"/>
      <c r="C216" s="143"/>
      <c r="D216" s="143"/>
      <c r="E216" s="143"/>
      <c r="F216" s="143"/>
      <c r="G216" s="143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</row>
    <row r="217" spans="1:19" ht="19.5">
      <c r="A217" s="136"/>
      <c r="B217" s="143"/>
      <c r="C217" s="143"/>
      <c r="D217" s="143"/>
      <c r="E217" s="143"/>
      <c r="F217" s="143"/>
      <c r="G217" s="143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</row>
    <row r="218" spans="1:19" ht="19.5">
      <c r="A218" s="136"/>
      <c r="B218" s="143"/>
      <c r="C218" s="143"/>
      <c r="D218" s="143"/>
      <c r="E218" s="143"/>
      <c r="F218" s="143"/>
      <c r="G218" s="143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</row>
    <row r="219" spans="1:19" ht="19.5">
      <c r="A219" s="136"/>
      <c r="B219" s="143"/>
      <c r="C219" s="143"/>
      <c r="D219" s="143"/>
      <c r="E219" s="143"/>
      <c r="F219" s="143"/>
      <c r="G219" s="143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</row>
    <row r="220" spans="1:19" ht="19.5">
      <c r="A220" s="136"/>
      <c r="B220" s="143"/>
      <c r="C220" s="143"/>
      <c r="D220" s="143"/>
      <c r="E220" s="143"/>
      <c r="F220" s="143"/>
      <c r="G220" s="143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</row>
    <row r="221" spans="1:19" ht="19.5">
      <c r="A221" s="136"/>
      <c r="B221" s="143"/>
      <c r="C221" s="143"/>
      <c r="D221" s="143"/>
      <c r="E221" s="143"/>
      <c r="F221" s="143"/>
      <c r="G221" s="143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</row>
    <row r="222" spans="1:19" ht="19.5">
      <c r="A222" s="136"/>
      <c r="B222" s="143"/>
      <c r="C222" s="143"/>
      <c r="D222" s="143"/>
      <c r="E222" s="143"/>
      <c r="F222" s="143"/>
      <c r="G222" s="143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</row>
    <row r="223" spans="1:19" ht="19.5">
      <c r="A223" s="136"/>
      <c r="B223" s="143"/>
      <c r="C223" s="143"/>
      <c r="D223" s="143"/>
      <c r="E223" s="143"/>
      <c r="F223" s="143"/>
      <c r="G223" s="143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</row>
    <row r="224" spans="1:19" ht="19.5">
      <c r="A224" s="136"/>
      <c r="B224" s="143"/>
      <c r="C224" s="143"/>
      <c r="D224" s="143"/>
      <c r="E224" s="143"/>
      <c r="F224" s="143"/>
      <c r="G224" s="143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</row>
    <row r="225" spans="1:19" ht="19.5">
      <c r="A225" s="136"/>
      <c r="B225" s="143"/>
      <c r="C225" s="143"/>
      <c r="D225" s="143"/>
      <c r="E225" s="143"/>
      <c r="F225" s="143"/>
      <c r="G225" s="143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</row>
    <row r="226" spans="1:19" ht="19.5">
      <c r="A226" s="136"/>
      <c r="B226" s="143"/>
      <c r="C226" s="143"/>
      <c r="D226" s="143"/>
      <c r="E226" s="143"/>
      <c r="F226" s="143"/>
      <c r="G226" s="143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</row>
    <row r="227" spans="1:19" ht="19.5">
      <c r="A227" s="136"/>
      <c r="B227" s="143"/>
      <c r="C227" s="143"/>
      <c r="D227" s="143"/>
      <c r="E227" s="143"/>
      <c r="F227" s="143"/>
      <c r="G227" s="143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</row>
    <row r="228" spans="1:19" ht="19.5">
      <c r="A228" s="136"/>
      <c r="B228" s="143"/>
      <c r="C228" s="143"/>
      <c r="D228" s="143"/>
      <c r="E228" s="143"/>
      <c r="F228" s="143"/>
      <c r="G228" s="143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</row>
    <row r="229" spans="1:19" ht="19.5">
      <c r="A229" s="136"/>
      <c r="B229" s="143"/>
      <c r="C229" s="143"/>
      <c r="D229" s="143"/>
      <c r="E229" s="143"/>
      <c r="F229" s="143"/>
      <c r="G229" s="143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</row>
    <row r="230" spans="1:19" ht="19.5">
      <c r="A230" s="136"/>
      <c r="B230" s="143"/>
      <c r="C230" s="143"/>
      <c r="D230" s="143"/>
      <c r="E230" s="143"/>
      <c r="F230" s="143"/>
      <c r="G230" s="143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</row>
    <row r="231" spans="1:19" ht="19.5">
      <c r="A231" s="136"/>
      <c r="B231" s="143"/>
      <c r="C231" s="143"/>
      <c r="D231" s="143"/>
      <c r="E231" s="143"/>
      <c r="F231" s="143"/>
      <c r="G231" s="143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</row>
    <row r="232" spans="1:19" ht="19.5">
      <c r="A232" s="136"/>
      <c r="B232" s="143"/>
      <c r="C232" s="143"/>
      <c r="D232" s="143"/>
      <c r="E232" s="143"/>
      <c r="F232" s="143"/>
      <c r="G232" s="143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</row>
    <row r="233" spans="1:19" ht="19.5">
      <c r="A233" s="136"/>
      <c r="B233" s="143"/>
      <c r="C233" s="143"/>
      <c r="D233" s="143"/>
      <c r="E233" s="143"/>
      <c r="F233" s="143"/>
      <c r="G233" s="143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</row>
    <row r="234" spans="1:19" ht="19.5">
      <c r="A234" s="136"/>
      <c r="B234" s="143"/>
      <c r="C234" s="143"/>
      <c r="D234" s="143"/>
      <c r="E234" s="143"/>
      <c r="F234" s="143"/>
      <c r="G234" s="143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</row>
    <row r="235" spans="1:19" ht="19.5">
      <c r="A235" s="136"/>
      <c r="B235" s="143"/>
      <c r="C235" s="143"/>
      <c r="D235" s="143"/>
      <c r="E235" s="143"/>
      <c r="F235" s="143"/>
      <c r="G235" s="143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</row>
    <row r="236" spans="1:19" ht="19.5">
      <c r="A236" s="136"/>
      <c r="B236" s="143"/>
      <c r="C236" s="143"/>
      <c r="D236" s="143"/>
      <c r="E236" s="143"/>
      <c r="F236" s="143"/>
      <c r="G236" s="143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</row>
    <row r="237" spans="1:19" ht="19.5">
      <c r="A237" s="136"/>
      <c r="B237" s="143"/>
      <c r="C237" s="143"/>
      <c r="D237" s="143"/>
      <c r="E237" s="143"/>
      <c r="F237" s="143"/>
      <c r="G237" s="143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</row>
    <row r="238" spans="1:19" ht="19.5">
      <c r="A238" s="136"/>
      <c r="B238" s="143"/>
      <c r="C238" s="143"/>
      <c r="D238" s="143"/>
      <c r="E238" s="143"/>
      <c r="F238" s="143"/>
      <c r="G238" s="143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</row>
    <row r="239" spans="1:19" ht="19.5">
      <c r="A239" s="136"/>
      <c r="B239" s="143"/>
      <c r="C239" s="143"/>
      <c r="D239" s="143"/>
      <c r="E239" s="143"/>
      <c r="F239" s="143"/>
      <c r="G239" s="143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</row>
    <row r="240" spans="1:19" ht="19.5">
      <c r="A240" s="136"/>
      <c r="B240" s="143"/>
      <c r="C240" s="143"/>
      <c r="D240" s="143"/>
      <c r="E240" s="143"/>
      <c r="F240" s="143"/>
      <c r="G240" s="143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</row>
    <row r="241" spans="1:19" ht="19.5">
      <c r="A241" s="136"/>
      <c r="B241" s="143"/>
      <c r="C241" s="143"/>
      <c r="D241" s="143"/>
      <c r="E241" s="143"/>
      <c r="F241" s="143"/>
      <c r="G241" s="143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</row>
    <row r="242" spans="1:19" ht="19.5">
      <c r="A242" s="136"/>
      <c r="B242" s="143"/>
      <c r="C242" s="143"/>
      <c r="D242" s="143"/>
      <c r="E242" s="143"/>
      <c r="F242" s="143"/>
      <c r="G242" s="143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</row>
    <row r="243" spans="1:19" ht="19.5">
      <c r="A243" s="136"/>
      <c r="B243" s="143"/>
      <c r="C243" s="143"/>
      <c r="D243" s="143"/>
      <c r="E243" s="143"/>
      <c r="F243" s="143"/>
      <c r="G243" s="143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</row>
    <row r="244" spans="1:19" ht="19.5">
      <c r="A244" s="136"/>
      <c r="B244" s="143"/>
      <c r="C244" s="143"/>
      <c r="D244" s="143"/>
      <c r="E244" s="143"/>
      <c r="F244" s="143"/>
      <c r="G244" s="143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</row>
    <row r="245" spans="1:19" ht="19.5">
      <c r="A245" s="136"/>
      <c r="B245" s="143"/>
      <c r="C245" s="143"/>
      <c r="D245" s="143"/>
      <c r="E245" s="143"/>
      <c r="F245" s="143"/>
      <c r="G245" s="143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</row>
    <row r="246" spans="1:19" ht="19.5">
      <c r="A246" s="136"/>
      <c r="B246" s="143"/>
      <c r="C246" s="143"/>
      <c r="D246" s="143"/>
      <c r="E246" s="143"/>
      <c r="F246" s="143"/>
      <c r="G246" s="143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</row>
    <row r="247" spans="1:19" ht="19.5">
      <c r="A247" s="136"/>
      <c r="B247" s="143"/>
      <c r="C247" s="143"/>
      <c r="D247" s="143"/>
      <c r="E247" s="143"/>
      <c r="F247" s="143"/>
      <c r="G247" s="143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</row>
    <row r="248" spans="1:19" ht="19.5">
      <c r="A248" s="136"/>
      <c r="B248" s="143"/>
      <c r="C248" s="143"/>
      <c r="D248" s="143"/>
      <c r="E248" s="143"/>
      <c r="F248" s="143"/>
      <c r="G248" s="143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</row>
    <row r="249" spans="1:19" ht="19.5">
      <c r="A249" s="136"/>
      <c r="B249" s="143"/>
      <c r="C249" s="143"/>
      <c r="D249" s="143"/>
      <c r="E249" s="143"/>
      <c r="F249" s="143"/>
      <c r="G249" s="143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</row>
    <row r="250" spans="1:19" ht="19.5">
      <c r="A250" s="136"/>
      <c r="B250" s="143"/>
      <c r="C250" s="143"/>
      <c r="D250" s="143"/>
      <c r="E250" s="143"/>
      <c r="F250" s="143"/>
      <c r="G250" s="143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</row>
    <row r="251" spans="1:19" ht="19.5">
      <c r="A251" s="136"/>
      <c r="B251" s="143"/>
      <c r="C251" s="143"/>
      <c r="D251" s="143"/>
      <c r="E251" s="143"/>
      <c r="F251" s="143"/>
      <c r="G251" s="143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</row>
    <row r="252" spans="1:19" ht="19.5">
      <c r="A252" s="136"/>
      <c r="B252" s="143"/>
      <c r="C252" s="143"/>
      <c r="D252" s="143"/>
      <c r="E252" s="143"/>
      <c r="F252" s="143"/>
      <c r="G252" s="143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</row>
    <row r="253" spans="1:19" ht="19.5">
      <c r="A253" s="136"/>
      <c r="B253" s="143"/>
      <c r="C253" s="143"/>
      <c r="D253" s="143"/>
      <c r="E253" s="143"/>
      <c r="F253" s="143"/>
      <c r="G253" s="143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</row>
    <row r="254" spans="1:19" ht="19.5">
      <c r="A254" s="136"/>
      <c r="B254" s="143"/>
      <c r="C254" s="143"/>
      <c r="D254" s="143"/>
      <c r="E254" s="143"/>
      <c r="F254" s="143"/>
      <c r="G254" s="143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</row>
    <row r="255" spans="1:19" ht="19.5">
      <c r="A255" s="136"/>
      <c r="B255" s="143"/>
      <c r="C255" s="143"/>
      <c r="D255" s="143"/>
      <c r="E255" s="143"/>
      <c r="F255" s="143"/>
      <c r="G255" s="143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</row>
    <row r="256" spans="1:19" ht="19.5">
      <c r="A256" s="136"/>
      <c r="B256" s="143"/>
      <c r="C256" s="143"/>
      <c r="D256" s="143"/>
      <c r="E256" s="143"/>
      <c r="F256" s="143"/>
      <c r="G256" s="143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</row>
    <row r="257" spans="1:19" ht="19.5">
      <c r="A257" s="136"/>
      <c r="B257" s="143"/>
      <c r="C257" s="143"/>
      <c r="D257" s="143"/>
      <c r="E257" s="143"/>
      <c r="F257" s="143"/>
      <c r="G257" s="143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</row>
    <row r="258" spans="1:19" ht="19.5">
      <c r="A258" s="136"/>
      <c r="B258" s="143"/>
      <c r="C258" s="143"/>
      <c r="D258" s="143"/>
      <c r="E258" s="143"/>
      <c r="F258" s="143"/>
      <c r="G258" s="143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</row>
    <row r="259" spans="1:19" ht="19.5">
      <c r="A259" s="136"/>
      <c r="B259" s="143"/>
      <c r="C259" s="143"/>
      <c r="D259" s="143"/>
      <c r="E259" s="143"/>
      <c r="F259" s="143"/>
      <c r="G259" s="143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</row>
    <row r="260" spans="1:19" ht="19.5">
      <c r="A260" s="136"/>
      <c r="B260" s="143"/>
      <c r="C260" s="143"/>
      <c r="D260" s="143"/>
      <c r="E260" s="143"/>
      <c r="F260" s="143"/>
      <c r="G260" s="143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</row>
    <row r="261" spans="1:19" ht="19.5">
      <c r="A261" s="136"/>
      <c r="B261" s="143"/>
      <c r="C261" s="143"/>
      <c r="D261" s="143"/>
      <c r="E261" s="143"/>
      <c r="F261" s="143"/>
      <c r="G261" s="143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</row>
    <row r="262" spans="1:19" ht="19.5">
      <c r="A262" s="136"/>
      <c r="B262" s="143"/>
      <c r="C262" s="143"/>
      <c r="D262" s="143"/>
      <c r="E262" s="143"/>
      <c r="F262" s="143"/>
      <c r="G262" s="143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</row>
    <row r="263" spans="1:19" ht="19.5">
      <c r="A263" s="136"/>
      <c r="B263" s="143"/>
      <c r="C263" s="143"/>
      <c r="D263" s="143"/>
      <c r="E263" s="143"/>
      <c r="F263" s="143"/>
      <c r="G263" s="143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</row>
    <row r="264" spans="1:19" ht="19.5">
      <c r="A264" s="136"/>
      <c r="B264" s="143"/>
      <c r="C264" s="143"/>
      <c r="D264" s="143"/>
      <c r="E264" s="143"/>
      <c r="F264" s="143"/>
      <c r="G264" s="143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</row>
    <row r="265" spans="1:19" ht="19.5">
      <c r="A265" s="136"/>
      <c r="B265" s="143"/>
      <c r="C265" s="143"/>
      <c r="D265" s="143"/>
      <c r="E265" s="143"/>
      <c r="F265" s="143"/>
      <c r="G265" s="143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</row>
    <row r="266" spans="1:19" ht="19.5">
      <c r="A266" s="136"/>
      <c r="B266" s="143"/>
      <c r="C266" s="143"/>
      <c r="D266" s="143"/>
      <c r="E266" s="143"/>
      <c r="F266" s="143"/>
      <c r="G266" s="143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</row>
    <row r="267" spans="1:19" ht="19.5">
      <c r="A267" s="136"/>
      <c r="B267" s="143"/>
      <c r="C267" s="143"/>
      <c r="D267" s="143"/>
      <c r="E267" s="143"/>
      <c r="F267" s="143"/>
      <c r="G267" s="143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</row>
    <row r="268" spans="1:19" ht="19.5">
      <c r="A268" s="136"/>
      <c r="B268" s="143"/>
      <c r="C268" s="143"/>
      <c r="D268" s="143"/>
      <c r="E268" s="143"/>
      <c r="F268" s="143"/>
      <c r="G268" s="143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</row>
    <row r="269" spans="1:19" ht="19.5">
      <c r="A269" s="136"/>
      <c r="B269" s="143"/>
      <c r="C269" s="143"/>
      <c r="D269" s="143"/>
      <c r="E269" s="143"/>
      <c r="F269" s="143"/>
      <c r="G269" s="143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</row>
    <row r="270" spans="1:19" ht="19.5">
      <c r="A270" s="136"/>
      <c r="B270" s="143"/>
      <c r="C270" s="143"/>
      <c r="D270" s="143"/>
      <c r="E270" s="143"/>
      <c r="F270" s="143"/>
      <c r="G270" s="143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</row>
    <row r="271" spans="1:19" ht="19.5">
      <c r="A271" s="136"/>
      <c r="B271" s="143"/>
      <c r="C271" s="143"/>
      <c r="D271" s="143"/>
      <c r="E271" s="143"/>
      <c r="F271" s="143"/>
      <c r="G271" s="143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</row>
    <row r="272" spans="1:19" ht="19.5">
      <c r="A272" s="136"/>
      <c r="B272" s="143"/>
      <c r="C272" s="143"/>
      <c r="D272" s="143"/>
      <c r="E272" s="143"/>
      <c r="F272" s="143"/>
      <c r="G272" s="143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</row>
    <row r="273" spans="1:19" ht="19.5">
      <c r="A273" s="136"/>
      <c r="B273" s="143"/>
      <c r="C273" s="143"/>
      <c r="D273" s="143"/>
      <c r="E273" s="143"/>
      <c r="F273" s="143"/>
      <c r="G273" s="143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</row>
    <row r="274" spans="1:19" ht="19.5">
      <c r="A274" s="136"/>
      <c r="B274" s="143"/>
      <c r="C274" s="143"/>
      <c r="D274" s="143"/>
      <c r="E274" s="143"/>
      <c r="F274" s="143"/>
      <c r="G274" s="143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</row>
    <row r="275" spans="1:19" ht="19.5">
      <c r="A275" s="136"/>
      <c r="B275" s="143"/>
      <c r="C275" s="143"/>
      <c r="D275" s="143"/>
      <c r="E275" s="143"/>
      <c r="F275" s="143"/>
      <c r="G275" s="143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</row>
    <row r="276" spans="1:19" ht="19.5">
      <c r="A276" s="136"/>
      <c r="B276" s="143"/>
      <c r="C276" s="143"/>
      <c r="D276" s="143"/>
      <c r="E276" s="143"/>
      <c r="F276" s="143"/>
      <c r="G276" s="143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</row>
    <row r="277" spans="1:19" ht="19.5">
      <c r="A277" s="136"/>
      <c r="B277" s="143"/>
      <c r="C277" s="143"/>
      <c r="D277" s="143"/>
      <c r="E277" s="143"/>
      <c r="F277" s="143"/>
      <c r="G277" s="143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</row>
    <row r="278" spans="1:19" ht="19.5">
      <c r="A278" s="136"/>
      <c r="B278" s="143"/>
      <c r="C278" s="143"/>
      <c r="D278" s="143"/>
      <c r="E278" s="143"/>
      <c r="F278" s="143"/>
      <c r="G278" s="143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</row>
    <row r="279" spans="1:19" ht="19.5">
      <c r="A279" s="136"/>
      <c r="B279" s="143"/>
      <c r="C279" s="143"/>
      <c r="D279" s="143"/>
      <c r="E279" s="143"/>
      <c r="F279" s="143"/>
      <c r="G279" s="143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</row>
    <row r="280" spans="1:19" ht="19.5">
      <c r="A280" s="136"/>
      <c r="B280" s="143"/>
      <c r="C280" s="143"/>
      <c r="D280" s="143"/>
      <c r="E280" s="143"/>
      <c r="F280" s="143"/>
      <c r="G280" s="143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</row>
    <row r="281" spans="1:19" ht="19.5">
      <c r="A281" s="136"/>
      <c r="B281" s="143"/>
      <c r="C281" s="143"/>
      <c r="D281" s="143"/>
      <c r="E281" s="143"/>
      <c r="F281" s="143"/>
      <c r="G281" s="143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</row>
    <row r="282" spans="1:19" ht="19.5">
      <c r="A282" s="136"/>
      <c r="B282" s="143"/>
      <c r="C282" s="143"/>
      <c r="D282" s="143"/>
      <c r="E282" s="143"/>
      <c r="F282" s="143"/>
      <c r="G282" s="143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</row>
    <row r="283" spans="1:19" ht="19.5">
      <c r="A283" s="136"/>
      <c r="B283" s="143"/>
      <c r="C283" s="143"/>
      <c r="D283" s="143"/>
      <c r="E283" s="143"/>
      <c r="F283" s="143"/>
      <c r="G283" s="143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</row>
    <row r="284" spans="1:19" ht="19.5">
      <c r="A284" s="136"/>
      <c r="B284" s="143"/>
      <c r="C284" s="143"/>
      <c r="D284" s="143"/>
      <c r="E284" s="143"/>
      <c r="F284" s="143"/>
      <c r="G284" s="143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</row>
    <row r="285" spans="1:19" ht="19.5">
      <c r="A285" s="136"/>
      <c r="B285" s="143"/>
      <c r="C285" s="143"/>
      <c r="D285" s="143"/>
      <c r="E285" s="143"/>
      <c r="F285" s="143"/>
      <c r="G285" s="143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</row>
    <row r="286" spans="1:19" ht="19.5">
      <c r="A286" s="136"/>
      <c r="B286" s="143"/>
      <c r="C286" s="143"/>
      <c r="D286" s="143"/>
      <c r="E286" s="143"/>
      <c r="F286" s="143"/>
      <c r="G286" s="143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</row>
    <row r="287" spans="1:19" ht="19.5">
      <c r="A287" s="136"/>
      <c r="B287" s="143"/>
      <c r="C287" s="143"/>
      <c r="D287" s="143"/>
      <c r="E287" s="143"/>
      <c r="F287" s="143"/>
      <c r="G287" s="143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</row>
    <row r="288" spans="1:19" ht="19.5">
      <c r="A288" s="136"/>
      <c r="B288" s="143"/>
      <c r="C288" s="143"/>
      <c r="D288" s="143"/>
      <c r="E288" s="143"/>
      <c r="F288" s="143"/>
      <c r="G288" s="143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</row>
    <row r="289" spans="1:19" ht="19.5">
      <c r="A289" s="136"/>
      <c r="B289" s="143"/>
      <c r="C289" s="143"/>
      <c r="D289" s="143"/>
      <c r="E289" s="143"/>
      <c r="F289" s="143"/>
      <c r="G289" s="143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</row>
    <row r="290" spans="1:19" ht="19.5">
      <c r="A290" s="136"/>
      <c r="B290" s="143"/>
      <c r="C290" s="143"/>
      <c r="D290" s="143"/>
      <c r="E290" s="143"/>
      <c r="F290" s="143"/>
      <c r="G290" s="143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</row>
    <row r="291" spans="1:19" ht="19.5">
      <c r="A291" s="136"/>
      <c r="B291" s="143"/>
      <c r="C291" s="143"/>
      <c r="D291" s="143"/>
      <c r="E291" s="143"/>
      <c r="F291" s="143"/>
      <c r="G291" s="143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</row>
    <row r="292" spans="1:19" ht="19.5">
      <c r="A292" s="136"/>
      <c r="B292" s="143"/>
      <c r="C292" s="143"/>
      <c r="D292" s="143"/>
      <c r="E292" s="143"/>
      <c r="F292" s="143"/>
      <c r="G292" s="143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</row>
    <row r="293" spans="1:19" ht="19.5">
      <c r="A293" s="136"/>
      <c r="B293" s="143"/>
      <c r="C293" s="143"/>
      <c r="D293" s="143"/>
      <c r="E293" s="143"/>
      <c r="F293" s="143"/>
      <c r="G293" s="143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</row>
    <row r="294" spans="1:19" ht="19.5">
      <c r="A294" s="136"/>
      <c r="B294" s="143"/>
      <c r="C294" s="143"/>
      <c r="D294" s="143"/>
      <c r="E294" s="143"/>
      <c r="F294" s="143"/>
      <c r="G294" s="143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</row>
    <row r="295" spans="1:19" ht="19.5">
      <c r="A295" s="136"/>
      <c r="B295" s="143"/>
      <c r="C295" s="143"/>
      <c r="D295" s="143"/>
      <c r="E295" s="143"/>
      <c r="F295" s="143"/>
      <c r="G295" s="143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</row>
    <row r="296" spans="1:19" ht="19.5">
      <c r="A296" s="136"/>
      <c r="B296" s="143"/>
      <c r="C296" s="143"/>
      <c r="D296" s="143"/>
      <c r="E296" s="143"/>
      <c r="F296" s="143"/>
      <c r="G296" s="143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</row>
    <row r="297" spans="1:19" ht="19.5">
      <c r="A297" s="136"/>
      <c r="B297" s="143"/>
      <c r="C297" s="143"/>
      <c r="D297" s="143"/>
      <c r="E297" s="143"/>
      <c r="F297" s="143"/>
      <c r="G297" s="143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</row>
    <row r="298" spans="1:19" ht="19.5">
      <c r="A298" s="136"/>
      <c r="B298" s="143"/>
      <c r="C298" s="143"/>
      <c r="D298" s="143"/>
      <c r="E298" s="143"/>
      <c r="F298" s="143"/>
      <c r="G298" s="143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</row>
    <row r="299" spans="1:19" ht="19.5">
      <c r="A299" s="136"/>
      <c r="B299" s="143"/>
      <c r="C299" s="143"/>
      <c r="D299" s="143"/>
      <c r="E299" s="143"/>
      <c r="F299" s="143"/>
      <c r="G299" s="143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</row>
    <row r="300" spans="1:19" ht="19.5">
      <c r="A300" s="136"/>
      <c r="B300" s="143"/>
      <c r="C300" s="143"/>
      <c r="D300" s="143"/>
      <c r="E300" s="143"/>
      <c r="F300" s="143"/>
      <c r="G300" s="143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</row>
    <row r="301" spans="1:19" ht="19.5">
      <c r="A301" s="136"/>
      <c r="B301" s="143"/>
      <c r="C301" s="143"/>
      <c r="D301" s="143"/>
      <c r="E301" s="143"/>
      <c r="F301" s="143"/>
      <c r="G301" s="143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</row>
    <row r="302" spans="1:19" ht="19.5">
      <c r="A302" s="136"/>
      <c r="B302" s="143"/>
      <c r="C302" s="143"/>
      <c r="D302" s="143"/>
      <c r="E302" s="143"/>
      <c r="F302" s="143"/>
      <c r="G302" s="143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</row>
    <row r="303" spans="1:19" ht="19.5">
      <c r="A303" s="136"/>
      <c r="B303" s="143"/>
      <c r="C303" s="143"/>
      <c r="D303" s="143"/>
      <c r="E303" s="143"/>
      <c r="F303" s="143"/>
      <c r="G303" s="143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</row>
    <row r="304" spans="1:19" ht="19.5">
      <c r="A304" s="136"/>
      <c r="B304" s="143"/>
      <c r="C304" s="143"/>
      <c r="D304" s="143"/>
      <c r="E304" s="143"/>
      <c r="F304" s="143"/>
      <c r="G304" s="143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</row>
    <row r="305" spans="1:19" ht="19.5">
      <c r="A305" s="136"/>
      <c r="B305" s="143"/>
      <c r="C305" s="143"/>
      <c r="D305" s="143"/>
      <c r="E305" s="143"/>
      <c r="F305" s="143"/>
      <c r="G305" s="143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</row>
    <row r="306" spans="1:19" ht="19.5">
      <c r="A306" s="136"/>
      <c r="B306" s="143"/>
      <c r="C306" s="143"/>
      <c r="D306" s="143"/>
      <c r="E306" s="143"/>
      <c r="F306" s="143"/>
      <c r="G306" s="143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</row>
    <row r="307" spans="1:19" ht="19.5">
      <c r="A307" s="136"/>
      <c r="B307" s="143"/>
      <c r="C307" s="143"/>
      <c r="D307" s="143"/>
      <c r="E307" s="143"/>
      <c r="F307" s="143"/>
      <c r="G307" s="143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</row>
    <row r="308" spans="1:19" ht="19.5">
      <c r="A308" s="136"/>
      <c r="B308" s="143"/>
      <c r="C308" s="143"/>
      <c r="D308" s="143"/>
      <c r="E308" s="143"/>
      <c r="F308" s="143"/>
      <c r="G308" s="143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</row>
    <row r="309" spans="1:19" ht="19.5">
      <c r="A309" s="136"/>
      <c r="B309" s="143"/>
      <c r="C309" s="143"/>
      <c r="D309" s="143"/>
      <c r="E309" s="143"/>
      <c r="F309" s="143"/>
      <c r="G309" s="143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</row>
    <row r="310" spans="1:19" ht="19.5">
      <c r="A310" s="136"/>
      <c r="B310" s="143"/>
      <c r="C310" s="143"/>
      <c r="D310" s="143"/>
      <c r="E310" s="143"/>
      <c r="F310" s="143"/>
      <c r="G310" s="143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</row>
    <row r="311" spans="1:19" ht="19.5">
      <c r="A311" s="136"/>
      <c r="B311" s="143"/>
      <c r="C311" s="143"/>
      <c r="D311" s="143"/>
      <c r="E311" s="143"/>
      <c r="F311" s="143"/>
      <c r="G311" s="143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</row>
    <row r="312" spans="1:19" ht="19.5">
      <c r="A312" s="136"/>
      <c r="B312" s="143"/>
      <c r="C312" s="143"/>
      <c r="D312" s="143"/>
      <c r="E312" s="143"/>
      <c r="F312" s="143"/>
      <c r="G312" s="143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</row>
    <row r="313" spans="1:19" ht="19.5">
      <c r="A313" s="136"/>
      <c r="B313" s="143"/>
      <c r="C313" s="143"/>
      <c r="D313" s="143"/>
      <c r="E313" s="143"/>
      <c r="F313" s="143"/>
      <c r="G313" s="143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</row>
    <row r="314" spans="1:19" ht="19.5">
      <c r="A314" s="136"/>
      <c r="B314" s="143"/>
      <c r="C314" s="143"/>
      <c r="D314" s="143"/>
      <c r="E314" s="143"/>
      <c r="F314" s="143"/>
      <c r="G314" s="143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</row>
    <row r="315" spans="1:19" ht="19.5">
      <c r="A315" s="136"/>
      <c r="B315" s="143"/>
      <c r="C315" s="143"/>
      <c r="D315" s="143"/>
      <c r="E315" s="143"/>
      <c r="F315" s="143"/>
      <c r="G315" s="143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</row>
    <row r="316" spans="1:19" ht="19.5">
      <c r="A316" s="136"/>
      <c r="B316" s="143"/>
      <c r="C316" s="143"/>
      <c r="D316" s="143"/>
      <c r="E316" s="143"/>
      <c r="F316" s="143"/>
      <c r="G316" s="143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</row>
    <row r="317" spans="1:19" ht="19.5">
      <c r="A317" s="136"/>
      <c r="B317" s="143"/>
      <c r="C317" s="143"/>
      <c r="D317" s="143"/>
      <c r="E317" s="143"/>
      <c r="F317" s="143"/>
      <c r="G317" s="143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</row>
    <row r="318" spans="1:19" ht="19.5">
      <c r="A318" s="136"/>
      <c r="B318" s="143"/>
      <c r="C318" s="143"/>
      <c r="D318" s="143"/>
      <c r="E318" s="143"/>
      <c r="F318" s="143"/>
      <c r="G318" s="143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</row>
    <row r="319" spans="1:19" ht="19.5">
      <c r="A319" s="136"/>
      <c r="B319" s="143"/>
      <c r="C319" s="143"/>
      <c r="D319" s="143"/>
      <c r="E319" s="143"/>
      <c r="F319" s="143"/>
      <c r="G319" s="143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</row>
    <row r="320" spans="1:19" ht="19.5">
      <c r="A320" s="136"/>
      <c r="B320" s="143"/>
      <c r="C320" s="143"/>
      <c r="D320" s="143"/>
      <c r="E320" s="143"/>
      <c r="F320" s="143"/>
      <c r="G320" s="143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</row>
    <row r="321" spans="1:19" ht="19.5">
      <c r="A321" s="136"/>
      <c r="B321" s="143"/>
      <c r="C321" s="143"/>
      <c r="D321" s="143"/>
      <c r="E321" s="143"/>
      <c r="F321" s="143"/>
      <c r="G321" s="143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</row>
    <row r="322" spans="1:19" ht="19.5">
      <c r="A322" s="136"/>
      <c r="B322" s="143"/>
      <c r="C322" s="143"/>
      <c r="D322" s="143"/>
      <c r="E322" s="143"/>
      <c r="F322" s="143"/>
      <c r="G322" s="143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</row>
    <row r="323" spans="1:19" ht="19.5">
      <c r="A323" s="136"/>
      <c r="B323" s="143"/>
      <c r="C323" s="143"/>
      <c r="D323" s="143"/>
      <c r="E323" s="143"/>
      <c r="F323" s="143"/>
      <c r="G323" s="143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</row>
    <row r="324" spans="1:19" ht="19.5">
      <c r="A324" s="136"/>
      <c r="B324" s="143"/>
      <c r="C324" s="143"/>
      <c r="D324" s="143"/>
      <c r="E324" s="143"/>
      <c r="F324" s="143"/>
      <c r="G324" s="143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</row>
    <row r="325" spans="1:19" ht="19.5">
      <c r="A325" s="136"/>
      <c r="B325" s="143"/>
      <c r="C325" s="143"/>
      <c r="D325" s="143"/>
      <c r="E325" s="143"/>
      <c r="F325" s="143"/>
      <c r="G325" s="143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</row>
    <row r="326" spans="1:19" ht="19.5">
      <c r="A326" s="136"/>
      <c r="B326" s="143"/>
      <c r="C326" s="143"/>
      <c r="D326" s="143"/>
      <c r="E326" s="143"/>
      <c r="F326" s="143"/>
      <c r="G326" s="143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</row>
    <row r="327" spans="1:19" ht="19.5">
      <c r="A327" s="136"/>
      <c r="B327" s="143"/>
      <c r="C327" s="143"/>
      <c r="D327" s="143"/>
      <c r="E327" s="143"/>
      <c r="F327" s="143"/>
      <c r="G327" s="143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</row>
    <row r="328" spans="1:19" ht="19.5">
      <c r="A328" s="136"/>
      <c r="B328" s="143"/>
      <c r="C328" s="143"/>
      <c r="D328" s="143"/>
      <c r="E328" s="143"/>
      <c r="F328" s="143"/>
      <c r="G328" s="143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</row>
    <row r="329" spans="1:19" ht="19.5">
      <c r="A329" s="136"/>
      <c r="B329" s="143"/>
      <c r="C329" s="143"/>
      <c r="D329" s="143"/>
      <c r="E329" s="143"/>
      <c r="F329" s="143"/>
      <c r="G329" s="143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</row>
    <row r="330" spans="1:19" ht="19.5">
      <c r="A330" s="136"/>
      <c r="B330" s="143"/>
      <c r="C330" s="143"/>
      <c r="D330" s="143"/>
      <c r="E330" s="143"/>
      <c r="F330" s="143"/>
      <c r="G330" s="143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</row>
    <row r="331" spans="1:19" ht="19.5">
      <c r="A331" s="136"/>
      <c r="B331" s="143"/>
      <c r="C331" s="143"/>
      <c r="D331" s="143"/>
      <c r="E331" s="143"/>
      <c r="F331" s="143"/>
      <c r="G331" s="143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</row>
    <row r="332" spans="1:19" ht="19.5">
      <c r="A332" s="136"/>
      <c r="B332" s="143"/>
      <c r="C332" s="143"/>
      <c r="D332" s="143"/>
      <c r="E332" s="143"/>
      <c r="F332" s="143"/>
      <c r="G332" s="143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</row>
    <row r="333" spans="1:19" ht="19.5">
      <c r="A333" s="136"/>
      <c r="B333" s="143"/>
      <c r="C333" s="143"/>
      <c r="D333" s="143"/>
      <c r="E333" s="143"/>
      <c r="F333" s="143"/>
      <c r="G333" s="143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</row>
    <row r="334" spans="1:19" ht="19.5">
      <c r="A334" s="136"/>
      <c r="B334" s="143"/>
      <c r="C334" s="143"/>
      <c r="D334" s="143"/>
      <c r="E334" s="143"/>
      <c r="F334" s="143"/>
      <c r="G334" s="143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</row>
    <row r="335" spans="1:19" ht="19.5">
      <c r="A335" s="136"/>
      <c r="B335" s="143"/>
      <c r="C335" s="143"/>
      <c r="D335" s="143"/>
      <c r="E335" s="143"/>
      <c r="F335" s="143"/>
      <c r="G335" s="143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</row>
    <row r="336" spans="1:19" ht="19.5">
      <c r="A336" s="136"/>
      <c r="B336" s="143"/>
      <c r="C336" s="143"/>
      <c r="D336" s="143"/>
      <c r="E336" s="143"/>
      <c r="F336" s="143"/>
      <c r="G336" s="143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</row>
    <row r="337" spans="1:19" ht="19.5">
      <c r="A337" s="136"/>
      <c r="B337" s="143"/>
      <c r="C337" s="143"/>
      <c r="D337" s="143"/>
      <c r="E337" s="143"/>
      <c r="F337" s="143"/>
      <c r="G337" s="143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</row>
    <row r="338" spans="1:19" ht="19.5">
      <c r="A338" s="136"/>
      <c r="B338" s="143"/>
      <c r="C338" s="143"/>
      <c r="D338" s="143"/>
      <c r="E338" s="143"/>
      <c r="F338" s="143"/>
      <c r="G338" s="143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</row>
    <row r="339" spans="1:19" ht="19.5">
      <c r="A339" s="136"/>
      <c r="B339" s="143"/>
      <c r="C339" s="143"/>
      <c r="D339" s="143"/>
      <c r="E339" s="143"/>
      <c r="F339" s="143"/>
      <c r="G339" s="143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</row>
    <row r="340" spans="1:19" ht="19.5">
      <c r="A340" s="136"/>
      <c r="B340" s="143"/>
      <c r="C340" s="143"/>
      <c r="D340" s="143"/>
      <c r="E340" s="143"/>
      <c r="F340" s="143"/>
      <c r="G340" s="143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</row>
    <row r="341" spans="1:19" ht="19.5">
      <c r="A341" s="136"/>
      <c r="B341" s="143"/>
      <c r="C341" s="143"/>
      <c r="D341" s="143"/>
      <c r="E341" s="143"/>
      <c r="F341" s="143"/>
      <c r="G341" s="143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</row>
    <row r="342" spans="1:19" ht="19.5">
      <c r="A342" s="136"/>
      <c r="B342" s="143"/>
      <c r="C342" s="143"/>
      <c r="D342" s="143"/>
      <c r="E342" s="143"/>
      <c r="F342" s="143"/>
      <c r="G342" s="143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</row>
    <row r="343" spans="1:19" ht="19.5">
      <c r="A343" s="136"/>
      <c r="B343" s="143"/>
      <c r="C343" s="143"/>
      <c r="D343" s="143"/>
      <c r="E343" s="143"/>
      <c r="F343" s="143"/>
      <c r="G343" s="143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</row>
    <row r="344" spans="1:19" ht="19.5">
      <c r="A344" s="136"/>
      <c r="B344" s="143"/>
      <c r="C344" s="143"/>
      <c r="D344" s="143"/>
      <c r="E344" s="143"/>
      <c r="F344" s="143"/>
      <c r="G344" s="143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</row>
    <row r="345" spans="1:19" ht="19.5">
      <c r="A345" s="136"/>
      <c r="B345" s="143"/>
      <c r="C345" s="143"/>
      <c r="D345" s="143"/>
      <c r="E345" s="143"/>
      <c r="F345" s="143"/>
      <c r="G345" s="143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</row>
    <row r="346" spans="1:19" ht="19.5">
      <c r="A346" s="136"/>
      <c r="B346" s="143"/>
      <c r="C346" s="143"/>
      <c r="D346" s="143"/>
      <c r="E346" s="143"/>
      <c r="F346" s="143"/>
      <c r="G346" s="143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</row>
    <row r="347" spans="1:19" ht="19.5">
      <c r="A347" s="136"/>
      <c r="B347" s="143"/>
      <c r="C347" s="143"/>
      <c r="D347" s="143"/>
      <c r="E347" s="143"/>
      <c r="F347" s="143"/>
      <c r="G347" s="143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</row>
    <row r="348" spans="1:19" ht="19.5">
      <c r="A348" s="136"/>
      <c r="B348" s="143"/>
      <c r="C348" s="143"/>
      <c r="D348" s="143"/>
      <c r="E348" s="143"/>
      <c r="F348" s="143"/>
      <c r="G348" s="143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</row>
    <row r="349" spans="1:19" ht="19.5">
      <c r="A349" s="136"/>
      <c r="B349" s="143"/>
      <c r="C349" s="143"/>
      <c r="D349" s="143"/>
      <c r="E349" s="143"/>
      <c r="F349" s="143"/>
      <c r="G349" s="143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</row>
    <row r="350" spans="1:19" ht="19.5">
      <c r="A350" s="136"/>
      <c r="B350" s="143"/>
      <c r="C350" s="143"/>
      <c r="D350" s="143"/>
      <c r="E350" s="143"/>
      <c r="F350" s="143"/>
      <c r="G350" s="143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</row>
    <row r="351" spans="1:19" ht="19.5">
      <c r="A351" s="136"/>
      <c r="B351" s="143"/>
      <c r="C351" s="143"/>
      <c r="D351" s="143"/>
      <c r="E351" s="143"/>
      <c r="F351" s="143"/>
      <c r="G351" s="143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</row>
    <row r="352" spans="1:19" ht="19.5">
      <c r="A352" s="136"/>
      <c r="B352" s="143"/>
      <c r="C352" s="143"/>
      <c r="D352" s="143"/>
      <c r="E352" s="143"/>
      <c r="F352" s="143"/>
      <c r="G352" s="143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</row>
    <row r="353" spans="1:19" ht="19.5">
      <c r="A353" s="136"/>
      <c r="B353" s="143"/>
      <c r="C353" s="143"/>
      <c r="D353" s="143"/>
      <c r="E353" s="143"/>
      <c r="F353" s="143"/>
      <c r="G353" s="143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</row>
    <row r="354" spans="1:19" ht="19.5">
      <c r="A354" s="136"/>
      <c r="B354" s="143"/>
      <c r="C354" s="143"/>
      <c r="D354" s="143"/>
      <c r="E354" s="143"/>
      <c r="F354" s="143"/>
      <c r="G354" s="143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</row>
    <row r="355" spans="1:19" ht="19.5">
      <c r="A355" s="136"/>
      <c r="B355" s="143"/>
      <c r="C355" s="143"/>
      <c r="D355" s="143"/>
      <c r="E355" s="143"/>
      <c r="F355" s="143"/>
      <c r="G355" s="143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</row>
    <row r="356" spans="1:19" ht="19.5">
      <c r="A356" s="136"/>
      <c r="B356" s="143"/>
      <c r="C356" s="143"/>
      <c r="D356" s="143"/>
      <c r="E356" s="143"/>
      <c r="F356" s="143"/>
      <c r="G356" s="143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</row>
    <row r="357" spans="1:19" ht="19.5">
      <c r="A357" s="136"/>
      <c r="B357" s="143"/>
      <c r="C357" s="143"/>
      <c r="D357" s="143"/>
      <c r="E357" s="143"/>
      <c r="F357" s="143"/>
      <c r="G357" s="143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</row>
    <row r="358" spans="1:19" ht="19.5">
      <c r="A358" s="136"/>
      <c r="B358" s="143"/>
      <c r="C358" s="143"/>
      <c r="D358" s="143"/>
      <c r="E358" s="143"/>
      <c r="F358" s="143"/>
      <c r="G358" s="143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</row>
    <row r="359" spans="1:19" ht="19.5">
      <c r="A359" s="136"/>
      <c r="B359" s="143"/>
      <c r="C359" s="143"/>
      <c r="D359" s="143"/>
      <c r="E359" s="143"/>
      <c r="F359" s="143"/>
      <c r="G359" s="143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</row>
    <row r="360" spans="1:19" ht="19.5">
      <c r="A360" s="136"/>
      <c r="B360" s="143"/>
      <c r="C360" s="143"/>
      <c r="D360" s="143"/>
      <c r="E360" s="143"/>
      <c r="F360" s="143"/>
      <c r="G360" s="143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</row>
    <row r="361" spans="1:19" ht="19.5">
      <c r="A361" s="136"/>
      <c r="B361" s="143"/>
      <c r="C361" s="143"/>
      <c r="D361" s="143"/>
      <c r="E361" s="143"/>
      <c r="F361" s="143"/>
      <c r="G361" s="143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</row>
    <row r="362" spans="1:19" ht="19.5">
      <c r="A362" s="136"/>
      <c r="B362" s="143"/>
      <c r="C362" s="143"/>
      <c r="D362" s="143"/>
      <c r="E362" s="143"/>
      <c r="F362" s="143"/>
      <c r="G362" s="143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</row>
    <row r="363" spans="1:19" ht="19.5">
      <c r="A363" s="136"/>
      <c r="B363" s="143"/>
      <c r="C363" s="143"/>
      <c r="D363" s="143"/>
      <c r="E363" s="143"/>
      <c r="F363" s="143"/>
      <c r="G363" s="143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</row>
    <row r="364" spans="1:19" ht="19.5">
      <c r="A364" s="136"/>
      <c r="B364" s="143"/>
      <c r="C364" s="143"/>
      <c r="D364" s="143"/>
      <c r="E364" s="143"/>
      <c r="F364" s="143"/>
      <c r="G364" s="143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</row>
    <row r="365" spans="1:19" ht="19.5">
      <c r="A365" s="136"/>
      <c r="B365" s="143"/>
      <c r="C365" s="143"/>
      <c r="D365" s="143"/>
      <c r="E365" s="143"/>
      <c r="F365" s="143"/>
      <c r="G365" s="143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</row>
    <row r="366" spans="1:19" ht="19.5">
      <c r="A366" s="136"/>
      <c r="B366" s="143"/>
      <c r="C366" s="143"/>
      <c r="D366" s="143"/>
      <c r="E366" s="143"/>
      <c r="F366" s="143"/>
      <c r="G366" s="143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</row>
    <row r="367" spans="1:19" ht="19.5">
      <c r="A367" s="136"/>
      <c r="B367" s="143"/>
      <c r="C367" s="143"/>
      <c r="D367" s="143"/>
      <c r="E367" s="143"/>
      <c r="F367" s="143"/>
      <c r="G367" s="143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</row>
    <row r="368" spans="1:19" ht="19.5">
      <c r="A368" s="136"/>
      <c r="B368" s="143"/>
      <c r="C368" s="143"/>
      <c r="D368" s="143"/>
      <c r="E368" s="143"/>
      <c r="F368" s="143"/>
      <c r="G368" s="143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</row>
    <row r="369" spans="1:19" ht="19.5">
      <c r="A369" s="136"/>
      <c r="B369" s="143"/>
      <c r="C369" s="143"/>
      <c r="D369" s="143"/>
      <c r="E369" s="143"/>
      <c r="F369" s="143"/>
      <c r="G369" s="143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</row>
    <row r="370" spans="1:19" ht="19.5">
      <c r="A370" s="136"/>
      <c r="B370" s="143"/>
      <c r="C370" s="143"/>
      <c r="D370" s="143"/>
      <c r="E370" s="143"/>
      <c r="F370" s="143"/>
      <c r="G370" s="143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</row>
    <row r="371" spans="1:19" ht="19.5">
      <c r="A371" s="136"/>
      <c r="B371" s="143"/>
      <c r="C371" s="143"/>
      <c r="D371" s="143"/>
      <c r="E371" s="143"/>
      <c r="F371" s="143"/>
      <c r="G371" s="143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</row>
    <row r="372" spans="1:19" ht="19.5">
      <c r="A372" s="136"/>
      <c r="B372" s="143"/>
      <c r="C372" s="143"/>
      <c r="D372" s="143"/>
      <c r="E372" s="143"/>
      <c r="F372" s="143"/>
      <c r="G372" s="143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</row>
    <row r="373" spans="1:19" ht="19.5">
      <c r="A373" s="136"/>
      <c r="B373" s="143"/>
      <c r="C373" s="143"/>
      <c r="D373" s="143"/>
      <c r="E373" s="143"/>
      <c r="F373" s="143"/>
      <c r="G373" s="143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</row>
    <row r="374" spans="1:19" ht="19.5">
      <c r="A374" s="136"/>
      <c r="B374" s="143"/>
      <c r="C374" s="143"/>
      <c r="D374" s="143"/>
      <c r="E374" s="143"/>
      <c r="F374" s="143"/>
      <c r="G374" s="143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</row>
    <row r="375" spans="1:19" ht="19.5">
      <c r="A375" s="136"/>
      <c r="B375" s="143"/>
      <c r="C375" s="143"/>
      <c r="D375" s="143"/>
      <c r="E375" s="143"/>
      <c r="F375" s="143"/>
      <c r="G375" s="143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</row>
    <row r="376" spans="1:19" ht="19.5">
      <c r="A376" s="136"/>
      <c r="B376" s="143"/>
      <c r="C376" s="143"/>
      <c r="D376" s="143"/>
      <c r="E376" s="143"/>
      <c r="F376" s="143"/>
      <c r="G376" s="143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</row>
    <row r="377" spans="1:19" ht="19.5">
      <c r="A377" s="136"/>
      <c r="B377" s="143"/>
      <c r="C377" s="143"/>
      <c r="D377" s="143"/>
      <c r="E377" s="143"/>
      <c r="F377" s="143"/>
      <c r="G377" s="143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</row>
    <row r="378" spans="1:19" ht="19.5">
      <c r="A378" s="136"/>
      <c r="B378" s="143"/>
      <c r="C378" s="143"/>
      <c r="D378" s="143"/>
      <c r="E378" s="143"/>
      <c r="F378" s="143"/>
      <c r="G378" s="143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</row>
    <row r="379" spans="1:19" ht="19.5">
      <c r="A379" s="136"/>
      <c r="B379" s="143"/>
      <c r="C379" s="143"/>
      <c r="D379" s="143"/>
      <c r="E379" s="143"/>
      <c r="F379" s="143"/>
      <c r="G379" s="143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</row>
    <row r="380" spans="1:19" ht="19.5">
      <c r="A380" s="136"/>
      <c r="B380" s="143"/>
      <c r="C380" s="143"/>
      <c r="D380" s="143"/>
      <c r="E380" s="143"/>
      <c r="F380" s="143"/>
      <c r="G380" s="143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</row>
    <row r="381" spans="1:19" ht="19.5">
      <c r="A381" s="136"/>
      <c r="B381" s="143"/>
      <c r="C381" s="143"/>
      <c r="D381" s="143"/>
      <c r="E381" s="143"/>
      <c r="F381" s="143"/>
      <c r="G381" s="143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</row>
    <row r="382" spans="1:19" ht="19.5">
      <c r="A382" s="136"/>
      <c r="B382" s="143"/>
      <c r="C382" s="143"/>
      <c r="D382" s="143"/>
      <c r="E382" s="143"/>
      <c r="F382" s="143"/>
      <c r="G382" s="143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</row>
    <row r="383" spans="1:19" ht="19.5">
      <c r="A383" s="136"/>
      <c r="B383" s="143"/>
      <c r="C383" s="143"/>
      <c r="D383" s="143"/>
      <c r="E383" s="143"/>
      <c r="F383" s="143"/>
      <c r="G383" s="143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</row>
    <row r="384" spans="1:19" ht="19.5">
      <c r="A384" s="136"/>
      <c r="B384" s="143"/>
      <c r="C384" s="143"/>
      <c r="D384" s="143"/>
      <c r="E384" s="143"/>
      <c r="F384" s="143"/>
      <c r="G384" s="143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</row>
    <row r="385" spans="1:19" ht="19.5">
      <c r="A385" s="136"/>
      <c r="B385" s="143"/>
      <c r="C385" s="143"/>
      <c r="D385" s="143"/>
      <c r="E385" s="143"/>
      <c r="F385" s="143"/>
      <c r="G385" s="143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</row>
    <row r="386" spans="1:19" ht="19.5">
      <c r="A386" s="136"/>
      <c r="B386" s="143"/>
      <c r="C386" s="143"/>
      <c r="D386" s="143"/>
      <c r="E386" s="143"/>
      <c r="F386" s="143"/>
      <c r="G386" s="143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</row>
    <row r="387" spans="1:19" ht="19.5">
      <c r="A387" s="136"/>
      <c r="B387" s="143"/>
      <c r="C387" s="143"/>
      <c r="D387" s="143"/>
      <c r="E387" s="143"/>
      <c r="F387" s="143"/>
      <c r="G387" s="143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</row>
    <row r="388" spans="1:19" ht="19.5">
      <c r="A388" s="136"/>
      <c r="B388" s="143"/>
      <c r="C388" s="143"/>
      <c r="D388" s="143"/>
      <c r="E388" s="143"/>
      <c r="F388" s="143"/>
      <c r="G388" s="143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</row>
    <row r="389" spans="1:19" ht="19.5">
      <c r="A389" s="136"/>
      <c r="B389" s="143"/>
      <c r="C389" s="143"/>
      <c r="D389" s="143"/>
      <c r="E389" s="143"/>
      <c r="F389" s="143"/>
      <c r="G389" s="143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</row>
    <row r="390" spans="1:19" ht="19.5">
      <c r="A390" s="136"/>
      <c r="B390" s="143"/>
      <c r="C390" s="143"/>
      <c r="D390" s="143"/>
      <c r="E390" s="143"/>
      <c r="F390" s="143"/>
      <c r="G390" s="143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</row>
    <row r="391" spans="1:19" ht="19.5">
      <c r="A391" s="136"/>
      <c r="B391" s="143"/>
      <c r="C391" s="143"/>
      <c r="D391" s="143"/>
      <c r="E391" s="143"/>
      <c r="F391" s="143"/>
      <c r="G391" s="143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</row>
    <row r="392" spans="1:19" ht="19.5">
      <c r="A392" s="136"/>
      <c r="B392" s="143"/>
      <c r="C392" s="143"/>
      <c r="D392" s="143"/>
      <c r="E392" s="143"/>
      <c r="F392" s="143"/>
      <c r="G392" s="143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</row>
    <row r="393" spans="1:19" ht="19.5">
      <c r="A393" s="136"/>
      <c r="B393" s="143"/>
      <c r="C393" s="143"/>
      <c r="D393" s="143"/>
      <c r="E393" s="143"/>
      <c r="F393" s="143"/>
      <c r="G393" s="143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</row>
    <row r="394" spans="1:19" ht="19.5">
      <c r="A394" s="136"/>
      <c r="B394" s="143"/>
      <c r="C394" s="143"/>
      <c r="D394" s="143"/>
      <c r="E394" s="143"/>
      <c r="F394" s="143"/>
      <c r="G394" s="143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</row>
    <row r="395" spans="1:19" ht="19.5">
      <c r="A395" s="136"/>
      <c r="B395" s="143"/>
      <c r="C395" s="143"/>
      <c r="D395" s="143"/>
      <c r="E395" s="143"/>
      <c r="F395" s="143"/>
      <c r="G395" s="143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</row>
    <row r="396" spans="1:19" ht="19.5">
      <c r="A396" s="136"/>
      <c r="B396" s="143"/>
      <c r="C396" s="143"/>
      <c r="D396" s="143"/>
      <c r="E396" s="143"/>
      <c r="F396" s="143"/>
      <c r="G396" s="143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</row>
    <row r="397" spans="1:19" ht="19.5">
      <c r="A397" s="136"/>
      <c r="B397" s="143"/>
      <c r="C397" s="143"/>
      <c r="D397" s="143"/>
      <c r="E397" s="143"/>
      <c r="F397" s="143"/>
      <c r="G397" s="143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</row>
    <row r="398" spans="1:19" ht="19.5">
      <c r="A398" s="136"/>
      <c r="B398" s="143"/>
      <c r="C398" s="143"/>
      <c r="D398" s="143"/>
      <c r="E398" s="143"/>
      <c r="F398" s="143"/>
      <c r="G398" s="143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</row>
    <row r="399" spans="1:19" ht="19.5">
      <c r="A399" s="136"/>
      <c r="B399" s="143"/>
      <c r="C399" s="143"/>
      <c r="D399" s="143"/>
      <c r="E399" s="143"/>
      <c r="F399" s="143"/>
      <c r="G399" s="143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</row>
    <row r="400" spans="1:19" ht="19.5">
      <c r="A400" s="136"/>
      <c r="B400" s="143"/>
      <c r="C400" s="143"/>
      <c r="D400" s="143"/>
      <c r="E400" s="143"/>
      <c r="F400" s="143"/>
      <c r="G400" s="143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</row>
    <row r="401" spans="1:19" ht="19.5">
      <c r="A401" s="136"/>
      <c r="B401" s="143"/>
      <c r="C401" s="143"/>
      <c r="D401" s="143"/>
      <c r="E401" s="143"/>
      <c r="F401" s="143"/>
      <c r="G401" s="143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</row>
    <row r="402" spans="1:19" ht="19.5">
      <c r="A402" s="136"/>
      <c r="B402" s="143"/>
      <c r="C402" s="143"/>
      <c r="D402" s="143"/>
      <c r="E402" s="143"/>
      <c r="F402" s="143"/>
      <c r="G402" s="143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</row>
    <row r="403" spans="1:19" ht="19.5">
      <c r="A403" s="136"/>
      <c r="B403" s="143"/>
      <c r="C403" s="143"/>
      <c r="D403" s="143"/>
      <c r="E403" s="143"/>
      <c r="F403" s="143"/>
      <c r="G403" s="143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</row>
    <row r="404" spans="1:19" ht="19.5">
      <c r="A404" s="136"/>
      <c r="B404" s="143"/>
      <c r="C404" s="143"/>
      <c r="D404" s="143"/>
      <c r="E404" s="143"/>
      <c r="F404" s="143"/>
      <c r="G404" s="143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</row>
    <row r="405" spans="1:19" ht="19.5">
      <c r="A405" s="136"/>
      <c r="B405" s="143"/>
      <c r="C405" s="143"/>
      <c r="D405" s="143"/>
      <c r="E405" s="143"/>
      <c r="F405" s="143"/>
      <c r="G405" s="143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</row>
    <row r="406" spans="1:19" ht="19.5">
      <c r="A406" s="136"/>
      <c r="B406" s="143"/>
      <c r="C406" s="143"/>
      <c r="D406" s="143"/>
      <c r="E406" s="143"/>
      <c r="F406" s="143"/>
      <c r="G406" s="143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</row>
    <row r="407" spans="1:19" ht="19.5">
      <c r="A407" s="136"/>
      <c r="B407" s="143"/>
      <c r="C407" s="143"/>
      <c r="D407" s="143"/>
      <c r="E407" s="143"/>
      <c r="F407" s="143"/>
      <c r="G407" s="143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</row>
    <row r="408" spans="1:19" ht="19.5">
      <c r="A408" s="136"/>
      <c r="B408" s="143"/>
      <c r="C408" s="143"/>
      <c r="D408" s="143"/>
      <c r="E408" s="143"/>
      <c r="F408" s="143"/>
      <c r="G408" s="143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</row>
    <row r="409" spans="1:19" ht="19.5">
      <c r="A409" s="136"/>
      <c r="B409" s="143"/>
      <c r="C409" s="143"/>
      <c r="D409" s="143"/>
      <c r="E409" s="143"/>
      <c r="F409" s="143"/>
      <c r="G409" s="143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</row>
    <row r="410" spans="1:19" ht="19.5">
      <c r="A410" s="136"/>
      <c r="B410" s="143"/>
      <c r="C410" s="143"/>
      <c r="D410" s="143"/>
      <c r="E410" s="143"/>
      <c r="F410" s="143"/>
      <c r="G410" s="143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</row>
    <row r="411" spans="1:19" ht="19.5">
      <c r="A411" s="136"/>
      <c r="B411" s="143"/>
      <c r="C411" s="143"/>
      <c r="D411" s="143"/>
      <c r="E411" s="143"/>
      <c r="F411" s="143"/>
      <c r="G411" s="143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</row>
    <row r="412" spans="1:19" ht="19.5">
      <c r="A412" s="136"/>
      <c r="B412" s="143"/>
      <c r="C412" s="143"/>
      <c r="D412" s="143"/>
      <c r="E412" s="143"/>
      <c r="F412" s="143"/>
      <c r="G412" s="143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</row>
    <row r="413" spans="1:19" ht="19.5">
      <c r="A413" s="136"/>
      <c r="B413" s="143"/>
      <c r="C413" s="143"/>
      <c r="D413" s="143"/>
      <c r="E413" s="143"/>
      <c r="F413" s="143"/>
      <c r="G413" s="143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</row>
    <row r="414" spans="1:19" ht="19.5">
      <c r="A414" s="136"/>
      <c r="B414" s="143"/>
      <c r="C414" s="143"/>
      <c r="D414" s="143"/>
      <c r="E414" s="143"/>
      <c r="F414" s="143"/>
      <c r="G414" s="143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</row>
    <row r="415" spans="1:19" ht="19.5">
      <c r="A415" s="136"/>
      <c r="B415" s="143"/>
      <c r="C415" s="143"/>
      <c r="D415" s="143"/>
      <c r="E415" s="143"/>
      <c r="F415" s="143"/>
      <c r="G415" s="143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</row>
    <row r="416" spans="1:19" ht="19.5">
      <c r="A416" s="136"/>
      <c r="B416" s="143"/>
      <c r="C416" s="143"/>
      <c r="D416" s="143"/>
      <c r="E416" s="143"/>
      <c r="F416" s="143"/>
      <c r="G416" s="143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</row>
    <row r="417" spans="1:19" ht="19.5">
      <c r="A417" s="136"/>
      <c r="B417" s="143"/>
      <c r="C417" s="143"/>
      <c r="D417" s="143"/>
      <c r="E417" s="143"/>
      <c r="F417" s="143"/>
      <c r="G417" s="143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</row>
    <row r="418" spans="1:19" ht="19.5">
      <c r="A418" s="136"/>
      <c r="B418" s="143"/>
      <c r="C418" s="143"/>
      <c r="D418" s="143"/>
      <c r="E418" s="143"/>
      <c r="F418" s="143"/>
      <c r="G418" s="143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</row>
    <row r="419" spans="1:19" ht="19.5">
      <c r="A419" s="136"/>
      <c r="B419" s="143"/>
      <c r="C419" s="143"/>
      <c r="D419" s="143"/>
      <c r="E419" s="143"/>
      <c r="F419" s="143"/>
      <c r="G419" s="143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</row>
    <row r="420" spans="1:19" ht="19.5">
      <c r="A420" s="136"/>
      <c r="B420" s="143"/>
      <c r="C420" s="143"/>
      <c r="D420" s="143"/>
      <c r="E420" s="143"/>
      <c r="F420" s="143"/>
      <c r="G420" s="143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</row>
    <row r="421" spans="1:19" ht="19.5">
      <c r="A421" s="136"/>
      <c r="B421" s="143"/>
      <c r="C421" s="143"/>
      <c r="D421" s="143"/>
      <c r="E421" s="143"/>
      <c r="F421" s="143"/>
      <c r="G421" s="143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</row>
    <row r="422" spans="1:19" ht="19.5">
      <c r="A422" s="136"/>
      <c r="B422" s="143"/>
      <c r="C422" s="143"/>
      <c r="D422" s="143"/>
      <c r="E422" s="143"/>
      <c r="F422" s="143"/>
      <c r="G422" s="143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</row>
    <row r="423" spans="1:19" ht="19.5">
      <c r="A423" s="136"/>
      <c r="B423" s="143"/>
      <c r="C423" s="143"/>
      <c r="D423" s="143"/>
      <c r="E423" s="143"/>
      <c r="F423" s="143"/>
      <c r="G423" s="143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</row>
    <row r="424" spans="1:19" ht="19.5">
      <c r="A424" s="136"/>
      <c r="B424" s="143"/>
      <c r="C424" s="143"/>
      <c r="D424" s="143"/>
      <c r="E424" s="143"/>
      <c r="F424" s="143"/>
      <c r="G424" s="143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</row>
    <row r="425" spans="1:19" ht="19.5">
      <c r="A425" s="136"/>
      <c r="B425" s="143"/>
      <c r="C425" s="143"/>
      <c r="D425" s="143"/>
      <c r="E425" s="143"/>
      <c r="F425" s="143"/>
      <c r="G425" s="143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</row>
    <row r="426" spans="1:19" ht="19.5">
      <c r="A426" s="136"/>
      <c r="B426" s="143"/>
      <c r="C426" s="143"/>
      <c r="D426" s="143"/>
      <c r="E426" s="143"/>
      <c r="F426" s="143"/>
      <c r="G426" s="143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</row>
    <row r="427" spans="1:19" ht="19.5">
      <c r="A427" s="136"/>
      <c r="B427" s="143"/>
      <c r="C427" s="143"/>
      <c r="D427" s="143"/>
      <c r="E427" s="143"/>
      <c r="F427" s="143"/>
      <c r="G427" s="143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</row>
    <row r="428" spans="1:19" ht="19.5">
      <c r="A428" s="136"/>
      <c r="B428" s="143"/>
      <c r="C428" s="143"/>
      <c r="D428" s="143"/>
      <c r="E428" s="143"/>
      <c r="F428" s="143"/>
      <c r="G428" s="143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</row>
    <row r="429" spans="1:19" ht="19.5">
      <c r="A429" s="136"/>
      <c r="B429" s="143"/>
      <c r="C429" s="143"/>
      <c r="D429" s="143"/>
      <c r="E429" s="143"/>
      <c r="F429" s="143"/>
      <c r="G429" s="143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</row>
    <row r="430" spans="1:19" ht="19.5">
      <c r="A430" s="136"/>
      <c r="B430" s="143"/>
      <c r="C430" s="143"/>
      <c r="D430" s="143"/>
      <c r="E430" s="143"/>
      <c r="F430" s="143"/>
      <c r="G430" s="143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</row>
    <row r="431" spans="1:19" ht="19.5">
      <c r="A431" s="136"/>
      <c r="B431" s="143"/>
      <c r="C431" s="143"/>
      <c r="D431" s="143"/>
      <c r="E431" s="143"/>
      <c r="F431" s="143"/>
      <c r="G431" s="143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</row>
    <row r="432" spans="1:19" ht="19.5">
      <c r="A432" s="136"/>
      <c r="B432" s="143"/>
      <c r="C432" s="143"/>
      <c r="D432" s="143"/>
      <c r="E432" s="143"/>
      <c r="F432" s="143"/>
      <c r="G432" s="143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</row>
    <row r="433" spans="1:19" ht="19.5">
      <c r="A433" s="136"/>
      <c r="B433" s="143"/>
      <c r="C433" s="143"/>
      <c r="D433" s="143"/>
      <c r="E433" s="143"/>
      <c r="F433" s="143"/>
      <c r="G433" s="143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</row>
    <row r="434" spans="1:19" ht="19.5">
      <c r="A434" s="136"/>
      <c r="B434" s="143"/>
      <c r="C434" s="143"/>
      <c r="D434" s="143"/>
      <c r="E434" s="143"/>
      <c r="F434" s="143"/>
      <c r="G434" s="143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</row>
    <row r="435" spans="1:19" ht="19.5">
      <c r="A435" s="136"/>
      <c r="B435" s="143"/>
      <c r="C435" s="143"/>
      <c r="D435" s="143"/>
      <c r="E435" s="143"/>
      <c r="F435" s="143"/>
      <c r="G435" s="143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</row>
    <row r="436" spans="1:19" ht="19.5">
      <c r="A436" s="136"/>
      <c r="B436" s="143"/>
      <c r="C436" s="143"/>
      <c r="D436" s="143"/>
      <c r="E436" s="143"/>
      <c r="F436" s="143"/>
      <c r="G436" s="143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</row>
    <row r="437" spans="1:19" ht="19.5">
      <c r="A437" s="136"/>
      <c r="B437" s="143"/>
      <c r="C437" s="143"/>
      <c r="D437" s="143"/>
      <c r="E437" s="143"/>
      <c r="F437" s="143"/>
      <c r="G437" s="143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</row>
    <row r="438" spans="1:19" ht="19.5">
      <c r="A438" s="136"/>
      <c r="B438" s="143"/>
      <c r="C438" s="143"/>
      <c r="D438" s="143"/>
      <c r="E438" s="143"/>
      <c r="F438" s="143"/>
      <c r="G438" s="143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</row>
    <row r="439" spans="1:19" ht="19.5">
      <c r="A439" s="136"/>
      <c r="B439" s="143"/>
      <c r="C439" s="143"/>
      <c r="D439" s="143"/>
      <c r="E439" s="143"/>
      <c r="F439" s="143"/>
      <c r="G439" s="143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</row>
    <row r="440" spans="1:19" ht="19.5">
      <c r="A440" s="136"/>
      <c r="B440" s="143"/>
      <c r="C440" s="143"/>
      <c r="D440" s="143"/>
      <c r="E440" s="143"/>
      <c r="F440" s="143"/>
      <c r="G440" s="143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</row>
    <row r="441" spans="1:19" ht="19.5">
      <c r="A441" s="136"/>
      <c r="B441" s="143"/>
      <c r="C441" s="143"/>
      <c r="D441" s="143"/>
      <c r="E441" s="143"/>
      <c r="F441" s="143"/>
      <c r="G441" s="143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</row>
    <row r="442" spans="1:19" ht="19.5">
      <c r="A442" s="136"/>
      <c r="B442" s="143"/>
      <c r="C442" s="143"/>
      <c r="D442" s="143"/>
      <c r="E442" s="143"/>
      <c r="F442" s="143"/>
      <c r="G442" s="143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</row>
    <row r="443" spans="1:19" ht="19.5">
      <c r="A443" s="136"/>
      <c r="B443" s="143"/>
      <c r="C443" s="143"/>
      <c r="D443" s="143"/>
      <c r="E443" s="143"/>
      <c r="F443" s="143"/>
      <c r="G443" s="143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</row>
    <row r="444" spans="1:19" ht="19.5">
      <c r="A444" s="136"/>
      <c r="B444" s="143"/>
      <c r="C444" s="143"/>
      <c r="D444" s="143"/>
      <c r="E444" s="143"/>
      <c r="F444" s="143"/>
      <c r="G444" s="143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</row>
    <row r="445" spans="1:19" ht="19.5">
      <c r="A445" s="136"/>
      <c r="B445" s="143"/>
      <c r="C445" s="143"/>
      <c r="D445" s="143"/>
      <c r="E445" s="143"/>
      <c r="F445" s="143"/>
      <c r="G445" s="143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</row>
    <row r="446" spans="1:19" ht="19.5">
      <c r="A446" s="136"/>
      <c r="B446" s="143"/>
      <c r="C446" s="143"/>
      <c r="D446" s="143"/>
      <c r="E446" s="143"/>
      <c r="F446" s="143"/>
      <c r="G446" s="143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</row>
    <row r="447" spans="1:19" ht="19.5">
      <c r="A447" s="136"/>
      <c r="B447" s="143"/>
      <c r="C447" s="143"/>
      <c r="D447" s="143"/>
      <c r="E447" s="143"/>
      <c r="F447" s="143"/>
      <c r="G447" s="143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</row>
    <row r="448" spans="1:19" ht="19.5">
      <c r="A448" s="136"/>
      <c r="B448" s="143"/>
      <c r="C448" s="143"/>
      <c r="D448" s="143"/>
      <c r="E448" s="143"/>
      <c r="F448" s="143"/>
      <c r="G448" s="143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</row>
    <row r="449" spans="1:19" ht="19.5">
      <c r="A449" s="136"/>
      <c r="B449" s="143"/>
      <c r="C449" s="143"/>
      <c r="D449" s="143"/>
      <c r="E449" s="143"/>
      <c r="F449" s="143"/>
      <c r="G449" s="143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</row>
    <row r="450" spans="1:19" ht="19.5">
      <c r="A450" s="136"/>
      <c r="B450" s="143"/>
      <c r="C450" s="143"/>
      <c r="D450" s="143"/>
      <c r="E450" s="143"/>
      <c r="F450" s="143"/>
      <c r="G450" s="143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</row>
    <row r="451" spans="1:19" ht="19.5">
      <c r="A451" s="136"/>
      <c r="B451" s="143"/>
      <c r="C451" s="143"/>
      <c r="D451" s="143"/>
      <c r="E451" s="143"/>
      <c r="F451" s="143"/>
      <c r="G451" s="143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</row>
    <row r="452" spans="1:19" ht="19.5">
      <c r="A452" s="136"/>
      <c r="B452" s="143"/>
      <c r="C452" s="143"/>
      <c r="D452" s="143"/>
      <c r="E452" s="143"/>
      <c r="F452" s="143"/>
      <c r="G452" s="143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</row>
    <row r="453" spans="1:19" ht="19.5">
      <c r="A453" s="136"/>
      <c r="B453" s="143"/>
      <c r="C453" s="143"/>
      <c r="D453" s="143"/>
      <c r="E453" s="143"/>
      <c r="F453" s="143"/>
      <c r="G453" s="143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</row>
    <row r="454" spans="1:19" ht="19.5">
      <c r="A454" s="136"/>
      <c r="B454" s="143"/>
      <c r="C454" s="143"/>
      <c r="D454" s="143"/>
      <c r="E454" s="143"/>
      <c r="F454" s="143"/>
      <c r="G454" s="143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</row>
    <row r="455" spans="1:19" ht="19.5">
      <c r="A455" s="136"/>
      <c r="B455" s="143"/>
      <c r="C455" s="143"/>
      <c r="D455" s="143"/>
      <c r="E455" s="143"/>
      <c r="F455" s="143"/>
      <c r="G455" s="143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</row>
    <row r="456" spans="1:19" ht="19.5">
      <c r="A456" s="136"/>
      <c r="B456" s="143"/>
      <c r="C456" s="143"/>
      <c r="D456" s="143"/>
      <c r="E456" s="143"/>
      <c r="F456" s="143"/>
      <c r="G456" s="143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</row>
    <row r="457" spans="1:19" ht="19.5">
      <c r="A457" s="136"/>
      <c r="B457" s="143"/>
      <c r="C457" s="143"/>
      <c r="D457" s="143"/>
      <c r="E457" s="143"/>
      <c r="F457" s="143"/>
      <c r="G457" s="143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</row>
    <row r="458" spans="1:19" ht="19.5">
      <c r="A458" s="136"/>
      <c r="B458" s="143"/>
      <c r="C458" s="143"/>
      <c r="D458" s="143"/>
      <c r="E458" s="143"/>
      <c r="F458" s="143"/>
      <c r="G458" s="143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</row>
    <row r="459" spans="1:19" ht="19.5">
      <c r="A459" s="136"/>
      <c r="B459" s="143"/>
      <c r="C459" s="143"/>
      <c r="D459" s="143"/>
      <c r="E459" s="143"/>
      <c r="F459" s="143"/>
      <c r="G459" s="143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</row>
    <row r="460" spans="1:19" ht="19.5">
      <c r="A460" s="136"/>
      <c r="B460" s="143"/>
      <c r="C460" s="143"/>
      <c r="D460" s="143"/>
      <c r="E460" s="143"/>
      <c r="F460" s="143"/>
      <c r="G460" s="143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</row>
    <row r="461" spans="1:19" ht="19.5">
      <c r="A461" s="136"/>
      <c r="B461" s="143"/>
      <c r="C461" s="143"/>
      <c r="D461" s="143"/>
      <c r="E461" s="143"/>
      <c r="F461" s="143"/>
      <c r="G461" s="143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</row>
    <row r="462" spans="1:19" ht="19.5">
      <c r="A462" s="136"/>
      <c r="B462" s="143"/>
      <c r="C462" s="143"/>
      <c r="D462" s="143"/>
      <c r="E462" s="143"/>
      <c r="F462" s="143"/>
      <c r="G462" s="143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</row>
    <row r="463" spans="1:19" ht="19.5">
      <c r="A463" s="136"/>
      <c r="B463" s="143"/>
      <c r="C463" s="143"/>
      <c r="D463" s="143"/>
      <c r="E463" s="143"/>
      <c r="F463" s="143"/>
      <c r="G463" s="143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</row>
    <row r="464" spans="1:19" ht="19.5">
      <c r="A464" s="136"/>
      <c r="B464" s="143"/>
      <c r="C464" s="143"/>
      <c r="D464" s="143"/>
      <c r="E464" s="143"/>
      <c r="F464" s="143"/>
      <c r="G464" s="143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</row>
    <row r="465" spans="1:19" ht="19.5">
      <c r="A465" s="136"/>
      <c r="B465" s="143"/>
      <c r="C465" s="143"/>
      <c r="D465" s="143"/>
      <c r="E465" s="143"/>
      <c r="F465" s="143"/>
      <c r="G465" s="143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</row>
    <row r="466" spans="1:19" ht="19.5">
      <c r="A466" s="136"/>
      <c r="B466" s="143"/>
      <c r="C466" s="143"/>
      <c r="D466" s="143"/>
      <c r="E466" s="143"/>
      <c r="F466" s="143"/>
      <c r="G466" s="143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</row>
    <row r="467" spans="1:19" ht="19.5">
      <c r="A467" s="136"/>
      <c r="B467" s="143"/>
      <c r="C467" s="143"/>
      <c r="D467" s="143"/>
      <c r="E467" s="143"/>
      <c r="F467" s="143"/>
      <c r="G467" s="143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</row>
    <row r="468" spans="1:19" ht="19.5">
      <c r="A468" s="136"/>
      <c r="B468" s="143"/>
      <c r="C468" s="143"/>
      <c r="D468" s="143"/>
      <c r="E468" s="143"/>
      <c r="F468" s="143"/>
      <c r="G468" s="143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</row>
    <row r="469" spans="1:19" ht="19.5">
      <c r="A469" s="136"/>
      <c r="B469" s="143"/>
      <c r="C469" s="143"/>
      <c r="D469" s="143"/>
      <c r="E469" s="143"/>
      <c r="F469" s="143"/>
      <c r="G469" s="143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</row>
    <row r="470" spans="1:19" ht="19.5">
      <c r="A470" s="136"/>
      <c r="B470" s="143"/>
      <c r="C470" s="143"/>
      <c r="D470" s="143"/>
      <c r="E470" s="143"/>
      <c r="F470" s="143"/>
      <c r="G470" s="143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</row>
    <row r="471" spans="1:19" ht="19.5">
      <c r="A471" s="136"/>
      <c r="B471" s="143"/>
      <c r="C471" s="143"/>
      <c r="D471" s="143"/>
      <c r="E471" s="143"/>
      <c r="F471" s="143"/>
      <c r="G471" s="143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</row>
    <row r="472" spans="1:19" ht="19.5">
      <c r="A472" s="136"/>
      <c r="B472" s="143"/>
      <c r="C472" s="143"/>
      <c r="D472" s="143"/>
      <c r="E472" s="143"/>
      <c r="F472" s="143"/>
      <c r="G472" s="143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</row>
    <row r="473" spans="1:19" ht="19.5">
      <c r="A473" s="136"/>
      <c r="B473" s="143"/>
      <c r="C473" s="143"/>
      <c r="D473" s="143"/>
      <c r="E473" s="143"/>
      <c r="F473" s="143"/>
      <c r="G473" s="143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</row>
    <row r="474" spans="1:19" ht="19.5">
      <c r="A474" s="136"/>
      <c r="B474" s="143"/>
      <c r="C474" s="143"/>
      <c r="D474" s="143"/>
      <c r="E474" s="143"/>
      <c r="F474" s="143"/>
      <c r="G474" s="143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</row>
    <row r="475" spans="1:19" ht="19.5">
      <c r="A475" s="136"/>
      <c r="B475" s="143"/>
      <c r="C475" s="143"/>
      <c r="D475" s="143"/>
      <c r="E475" s="143"/>
      <c r="F475" s="143"/>
      <c r="G475" s="143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</row>
    <row r="476" spans="1:19" ht="19.5">
      <c r="A476" s="136"/>
      <c r="B476" s="143"/>
      <c r="C476" s="143"/>
      <c r="D476" s="143"/>
      <c r="E476" s="143"/>
      <c r="F476" s="143"/>
      <c r="G476" s="143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</row>
    <row r="477" spans="1:19" ht="19.5">
      <c r="A477" s="136"/>
      <c r="B477" s="143"/>
      <c r="C477" s="143"/>
      <c r="D477" s="143"/>
      <c r="E477" s="143"/>
      <c r="F477" s="143"/>
      <c r="G477" s="143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</row>
    <row r="478" spans="1:19" ht="19.5">
      <c r="A478" s="136"/>
      <c r="B478" s="143"/>
      <c r="C478" s="143"/>
      <c r="D478" s="143"/>
      <c r="E478" s="143"/>
      <c r="F478" s="143"/>
      <c r="G478" s="143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</row>
    <row r="479" spans="1:19" ht="19.5">
      <c r="A479" s="136"/>
      <c r="B479" s="143"/>
      <c r="C479" s="143"/>
      <c r="D479" s="143"/>
      <c r="E479" s="143"/>
      <c r="F479" s="143"/>
      <c r="G479" s="143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</row>
    <row r="480" spans="1:19" ht="19.5">
      <c r="A480" s="136"/>
      <c r="B480" s="143"/>
      <c r="C480" s="143"/>
      <c r="D480" s="143"/>
      <c r="E480" s="143"/>
      <c r="F480" s="143"/>
      <c r="G480" s="143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</row>
    <row r="481" spans="1:19" ht="19.5">
      <c r="A481" s="136"/>
      <c r="B481" s="143"/>
      <c r="C481" s="143"/>
      <c r="D481" s="143"/>
      <c r="E481" s="143"/>
      <c r="F481" s="143"/>
      <c r="G481" s="143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</row>
    <row r="482" spans="1:19" ht="19.5">
      <c r="A482" s="136"/>
      <c r="B482" s="143"/>
      <c r="C482" s="143"/>
      <c r="D482" s="143"/>
      <c r="E482" s="143"/>
      <c r="F482" s="143"/>
      <c r="G482" s="143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</row>
    <row r="483" spans="1:19" ht="19.5">
      <c r="A483" s="136"/>
      <c r="B483" s="143"/>
      <c r="C483" s="143"/>
      <c r="D483" s="143"/>
      <c r="E483" s="143"/>
      <c r="F483" s="143"/>
      <c r="G483" s="143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</row>
    <row r="484" spans="1:19" ht="19.5">
      <c r="A484" s="136"/>
      <c r="B484" s="143"/>
      <c r="C484" s="143"/>
      <c r="D484" s="143"/>
      <c r="E484" s="143"/>
      <c r="F484" s="143"/>
      <c r="G484" s="143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</row>
    <row r="485" spans="1:19" ht="19.5">
      <c r="A485" s="136"/>
      <c r="B485" s="143"/>
      <c r="C485" s="143"/>
      <c r="D485" s="143"/>
      <c r="E485" s="143"/>
      <c r="F485" s="143"/>
      <c r="G485" s="143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</row>
    <row r="486" spans="1:19" ht="19.5">
      <c r="A486" s="136"/>
      <c r="B486" s="143"/>
      <c r="C486" s="143"/>
      <c r="D486" s="143"/>
      <c r="E486" s="143"/>
      <c r="F486" s="143"/>
      <c r="G486" s="143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</row>
    <row r="487" spans="1:19" ht="19.5">
      <c r="A487" s="136"/>
      <c r="B487" s="143"/>
      <c r="C487" s="143"/>
      <c r="D487" s="143"/>
      <c r="E487" s="143"/>
      <c r="F487" s="143"/>
      <c r="G487" s="143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</row>
    <row r="488" spans="1:19" ht="19.5">
      <c r="A488" s="136"/>
      <c r="B488" s="143"/>
      <c r="C488" s="143"/>
      <c r="D488" s="143"/>
      <c r="E488" s="143"/>
      <c r="F488" s="143"/>
      <c r="G488" s="143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</row>
    <row r="489" spans="1:19" ht="19.5">
      <c r="A489" s="136"/>
      <c r="B489" s="143"/>
      <c r="C489" s="143"/>
      <c r="D489" s="143"/>
      <c r="E489" s="143"/>
      <c r="F489" s="143"/>
      <c r="G489" s="143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</row>
    <row r="490" spans="1:19" ht="19.5">
      <c r="A490" s="136"/>
      <c r="B490" s="143"/>
      <c r="C490" s="143"/>
      <c r="D490" s="143"/>
      <c r="E490" s="143"/>
      <c r="F490" s="143"/>
      <c r="G490" s="143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</row>
    <row r="491" spans="1:19" ht="19.5">
      <c r="A491" s="136"/>
      <c r="B491" s="143"/>
      <c r="C491" s="143"/>
      <c r="D491" s="143"/>
      <c r="E491" s="143"/>
      <c r="F491" s="143"/>
      <c r="G491" s="143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</row>
    <row r="492" spans="1:19" ht="19.5">
      <c r="A492" s="136"/>
      <c r="B492" s="143"/>
      <c r="C492" s="143"/>
      <c r="D492" s="143"/>
      <c r="E492" s="143"/>
      <c r="F492" s="143"/>
      <c r="G492" s="143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</row>
    <row r="493" spans="1:19" ht="19.5">
      <c r="A493" s="136"/>
      <c r="B493" s="143"/>
      <c r="C493" s="143"/>
      <c r="D493" s="143"/>
      <c r="E493" s="143"/>
      <c r="F493" s="143"/>
      <c r="G493" s="143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</row>
    <row r="494" spans="1:19" ht="19.5">
      <c r="A494" s="136"/>
      <c r="B494" s="143"/>
      <c r="C494" s="143"/>
      <c r="D494" s="143"/>
      <c r="E494" s="143"/>
      <c r="F494" s="143"/>
      <c r="G494" s="143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</row>
    <row r="495" spans="1:19" ht="19.5">
      <c r="A495" s="136"/>
      <c r="B495" s="143"/>
      <c r="C495" s="143"/>
      <c r="D495" s="143"/>
      <c r="E495" s="143"/>
      <c r="F495" s="143"/>
      <c r="G495" s="143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</row>
    <row r="496" spans="1:19" ht="19.5">
      <c r="A496" s="136"/>
      <c r="B496" s="143"/>
      <c r="C496" s="143"/>
      <c r="D496" s="143"/>
      <c r="E496" s="143"/>
      <c r="F496" s="143"/>
      <c r="G496" s="143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</row>
    <row r="497" spans="1:19" ht="19.5">
      <c r="A497" s="136"/>
      <c r="B497" s="143"/>
      <c r="C497" s="143"/>
      <c r="D497" s="143"/>
      <c r="E497" s="143"/>
      <c r="F497" s="143"/>
      <c r="G497" s="143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</row>
    <row r="498" spans="1:19" ht="19.5">
      <c r="A498" s="136"/>
      <c r="B498" s="143"/>
      <c r="C498" s="143"/>
      <c r="D498" s="143"/>
      <c r="E498" s="143"/>
      <c r="F498" s="143"/>
      <c r="G498" s="143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</row>
    <row r="499" spans="1:19" ht="19.5">
      <c r="A499" s="136"/>
      <c r="B499" s="143"/>
      <c r="C499" s="143"/>
      <c r="D499" s="143"/>
      <c r="E499" s="143"/>
      <c r="F499" s="143"/>
      <c r="G499" s="143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</row>
    <row r="500" spans="1:19" ht="19.5">
      <c r="A500" s="136"/>
      <c r="B500" s="143"/>
      <c r="C500" s="143"/>
      <c r="D500" s="143"/>
      <c r="E500" s="143"/>
      <c r="F500" s="143"/>
      <c r="G500" s="143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</row>
    <row r="501" spans="1:19" ht="19.5">
      <c r="A501" s="136"/>
      <c r="B501" s="143"/>
      <c r="C501" s="143"/>
      <c r="D501" s="143"/>
      <c r="E501" s="143"/>
      <c r="F501" s="143"/>
      <c r="G501" s="143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</row>
    <row r="502" spans="1:19" ht="19.5">
      <c r="A502" s="136"/>
      <c r="B502" s="143"/>
      <c r="C502" s="143"/>
      <c r="D502" s="143"/>
      <c r="E502" s="143"/>
      <c r="F502" s="143"/>
      <c r="G502" s="143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</row>
    <row r="503" spans="1:19" ht="19.5">
      <c r="A503" s="136"/>
      <c r="B503" s="143"/>
      <c r="C503" s="143"/>
      <c r="D503" s="143"/>
      <c r="E503" s="143"/>
      <c r="F503" s="143"/>
      <c r="G503" s="143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</row>
    <row r="504" spans="1:19" ht="19.5">
      <c r="A504" s="136"/>
      <c r="B504" s="143"/>
      <c r="C504" s="143"/>
      <c r="D504" s="143"/>
      <c r="E504" s="143"/>
      <c r="F504" s="143"/>
      <c r="G504" s="143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</row>
    <row r="505" spans="1:19" ht="19.5">
      <c r="A505" s="136"/>
      <c r="B505" s="143"/>
      <c r="C505" s="143"/>
      <c r="D505" s="143"/>
      <c r="E505" s="143"/>
      <c r="F505" s="143"/>
      <c r="G505" s="143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</row>
    <row r="506" spans="1:19" ht="19.5">
      <c r="A506" s="136"/>
      <c r="B506" s="143"/>
      <c r="C506" s="143"/>
      <c r="D506" s="143"/>
      <c r="E506" s="143"/>
      <c r="F506" s="143"/>
      <c r="G506" s="143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</row>
    <row r="507" spans="1:19" ht="19.5">
      <c r="A507" s="136"/>
      <c r="B507" s="143"/>
      <c r="C507" s="143"/>
      <c r="D507" s="143"/>
      <c r="E507" s="143"/>
      <c r="F507" s="143"/>
      <c r="G507" s="143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</row>
    <row r="508" spans="1:19" ht="19.5">
      <c r="A508" s="136"/>
      <c r="B508" s="143"/>
      <c r="C508" s="143"/>
      <c r="D508" s="143"/>
      <c r="E508" s="143"/>
      <c r="F508" s="143"/>
      <c r="G508" s="143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</row>
    <row r="509" spans="1:19" ht="19.5">
      <c r="A509" s="136"/>
      <c r="B509" s="143"/>
      <c r="C509" s="143"/>
      <c r="D509" s="143"/>
      <c r="E509" s="143"/>
      <c r="F509" s="143"/>
      <c r="G509" s="143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</row>
    <row r="510" spans="1:19" ht="19.5">
      <c r="A510" s="136"/>
      <c r="B510" s="143"/>
      <c r="C510" s="143"/>
      <c r="D510" s="143"/>
      <c r="E510" s="143"/>
      <c r="F510" s="143"/>
      <c r="G510" s="143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</row>
    <row r="511" spans="1:19" ht="19.5">
      <c r="A511" s="136"/>
      <c r="B511" s="143"/>
      <c r="C511" s="143"/>
      <c r="D511" s="143"/>
      <c r="E511" s="143"/>
      <c r="F511" s="143"/>
      <c r="G511" s="143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</row>
    <row r="512" spans="1:19" ht="19.5">
      <c r="A512" s="136"/>
      <c r="B512" s="143"/>
      <c r="C512" s="143"/>
      <c r="D512" s="143"/>
      <c r="E512" s="143"/>
      <c r="F512" s="143"/>
      <c r="G512" s="143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</row>
    <row r="513" spans="1:19" ht="19.5">
      <c r="A513" s="136"/>
      <c r="B513" s="143"/>
      <c r="C513" s="143"/>
      <c r="D513" s="143"/>
      <c r="E513" s="143"/>
      <c r="F513" s="143"/>
      <c r="G513" s="143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</row>
    <row r="514" spans="1:19" ht="19.5">
      <c r="A514" s="136"/>
      <c r="B514" s="143"/>
      <c r="C514" s="143"/>
      <c r="D514" s="143"/>
      <c r="E514" s="143"/>
      <c r="F514" s="143"/>
      <c r="G514" s="143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</row>
    <row r="515" spans="1:19" ht="19.5">
      <c r="A515" s="136"/>
      <c r="B515" s="143"/>
      <c r="C515" s="143"/>
      <c r="D515" s="143"/>
      <c r="E515" s="143"/>
      <c r="F515" s="143"/>
      <c r="G515" s="143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</row>
    <row r="516" spans="1:19" ht="19.5">
      <c r="A516" s="136"/>
      <c r="B516" s="143"/>
      <c r="C516" s="143"/>
      <c r="D516" s="143"/>
      <c r="E516" s="143"/>
      <c r="F516" s="143"/>
      <c r="G516" s="143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</row>
    <row r="517" spans="1:19" ht="19.5">
      <c r="A517" s="136"/>
      <c r="B517" s="143"/>
      <c r="C517" s="143"/>
      <c r="D517" s="143"/>
      <c r="E517" s="143"/>
      <c r="F517" s="143"/>
      <c r="G517" s="143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</row>
    <row r="518" spans="1:19" ht="19.5">
      <c r="A518" s="136"/>
      <c r="B518" s="143"/>
      <c r="C518" s="143"/>
      <c r="D518" s="143"/>
      <c r="E518" s="143"/>
      <c r="F518" s="143"/>
      <c r="G518" s="143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</row>
    <row r="519" spans="1:19" ht="19.5">
      <c r="A519" s="136"/>
      <c r="B519" s="143"/>
      <c r="C519" s="143"/>
      <c r="D519" s="143"/>
      <c r="E519" s="143"/>
      <c r="F519" s="143"/>
      <c r="G519" s="143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</row>
    <row r="520" spans="1:19" ht="19.5">
      <c r="A520" s="136"/>
      <c r="B520" s="143"/>
      <c r="C520" s="143"/>
      <c r="D520" s="143"/>
      <c r="E520" s="143"/>
      <c r="F520" s="143"/>
      <c r="G520" s="143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</row>
    <row r="521" spans="1:19" ht="19.5">
      <c r="A521" s="136"/>
      <c r="B521" s="143"/>
      <c r="C521" s="143"/>
      <c r="D521" s="143"/>
      <c r="E521" s="143"/>
      <c r="F521" s="143"/>
      <c r="G521" s="143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</row>
    <row r="522" spans="1:19" ht="19.5">
      <c r="A522" s="136"/>
      <c r="B522" s="143"/>
      <c r="C522" s="143"/>
      <c r="D522" s="143"/>
      <c r="E522" s="143"/>
      <c r="F522" s="143"/>
      <c r="G522" s="143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</row>
    <row r="523" spans="1:19" ht="19.5">
      <c r="A523" s="136"/>
      <c r="B523" s="143"/>
      <c r="C523" s="143"/>
      <c r="D523" s="143"/>
      <c r="E523" s="143"/>
      <c r="F523" s="143"/>
      <c r="G523" s="143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</row>
    <row r="524" spans="1:19" ht="19.5">
      <c r="A524" s="136"/>
      <c r="B524" s="143"/>
      <c r="C524" s="143"/>
      <c r="D524" s="143"/>
      <c r="E524" s="143"/>
      <c r="F524" s="143"/>
      <c r="G524" s="143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</row>
    <row r="525" spans="1:19" ht="19.5">
      <c r="A525" s="136"/>
      <c r="B525" s="143"/>
      <c r="C525" s="143"/>
      <c r="D525" s="143"/>
      <c r="E525" s="143"/>
      <c r="F525" s="143"/>
      <c r="G525" s="143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</row>
    <row r="526" spans="1:19" ht="19.5">
      <c r="A526" s="136"/>
      <c r="B526" s="143"/>
      <c r="C526" s="143"/>
      <c r="D526" s="143"/>
      <c r="E526" s="143"/>
      <c r="F526" s="143"/>
      <c r="G526" s="143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</row>
    <row r="527" spans="1:19" ht="19.5">
      <c r="A527" s="136"/>
      <c r="B527" s="143"/>
      <c r="C527" s="143"/>
      <c r="D527" s="143"/>
      <c r="E527" s="143"/>
      <c r="F527" s="143"/>
      <c r="G527" s="143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</row>
    <row r="528" spans="1:19" ht="19.5">
      <c r="A528" s="136"/>
      <c r="B528" s="143"/>
      <c r="C528" s="143"/>
      <c r="D528" s="143"/>
      <c r="E528" s="143"/>
      <c r="F528" s="143"/>
      <c r="G528" s="143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</row>
    <row r="529" spans="1:19" ht="19.5">
      <c r="A529" s="136"/>
      <c r="B529" s="143"/>
      <c r="C529" s="143"/>
      <c r="D529" s="143"/>
      <c r="E529" s="143"/>
      <c r="F529" s="143"/>
      <c r="G529" s="143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</row>
    <row r="530" spans="1:19" ht="19.5">
      <c r="A530" s="136"/>
      <c r="B530" s="143"/>
      <c r="C530" s="143"/>
      <c r="D530" s="143"/>
      <c r="E530" s="143"/>
      <c r="F530" s="143"/>
      <c r="G530" s="143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</row>
    <row r="531" spans="1:19" ht="19.5">
      <c r="A531" s="136"/>
      <c r="B531" s="143"/>
      <c r="C531" s="143"/>
      <c r="D531" s="143"/>
      <c r="E531" s="143"/>
      <c r="F531" s="143"/>
      <c r="G531" s="143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</row>
    <row r="532" spans="1:19" ht="19.5">
      <c r="A532" s="136"/>
      <c r="B532" s="143"/>
      <c r="C532" s="143"/>
      <c r="D532" s="143"/>
      <c r="E532" s="143"/>
      <c r="F532" s="143"/>
      <c r="G532" s="143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</row>
    <row r="533" spans="1:19" ht="19.5">
      <c r="A533" s="136"/>
      <c r="B533" s="143"/>
      <c r="C533" s="143"/>
      <c r="D533" s="143"/>
      <c r="E533" s="143"/>
      <c r="F533" s="143"/>
      <c r="G533" s="143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</row>
    <row r="534" spans="1:19" ht="19.5">
      <c r="A534" s="136"/>
      <c r="B534" s="143"/>
      <c r="C534" s="143"/>
      <c r="D534" s="143"/>
      <c r="E534" s="143"/>
      <c r="F534" s="143"/>
      <c r="G534" s="143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</row>
    <row r="535" spans="1:19" ht="19.5">
      <c r="A535" s="136"/>
      <c r="B535" s="143"/>
      <c r="C535" s="143"/>
      <c r="D535" s="143"/>
      <c r="E535" s="143"/>
      <c r="F535" s="143"/>
      <c r="G535" s="143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</row>
    <row r="536" spans="1:19" ht="19.5">
      <c r="A536" s="136"/>
      <c r="B536" s="143"/>
      <c r="C536" s="143"/>
      <c r="D536" s="143"/>
      <c r="E536" s="143"/>
      <c r="F536" s="143"/>
      <c r="G536" s="143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</row>
    <row r="537" spans="1:19" ht="19.5">
      <c r="A537" s="136"/>
      <c r="B537" s="143"/>
      <c r="C537" s="143"/>
      <c r="D537" s="143"/>
      <c r="E537" s="143"/>
      <c r="F537" s="143"/>
      <c r="G537" s="143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</row>
    <row r="538" spans="1:19" ht="19.5">
      <c r="A538" s="136"/>
      <c r="B538" s="143"/>
      <c r="C538" s="143"/>
      <c r="D538" s="143"/>
      <c r="E538" s="143"/>
      <c r="F538" s="143"/>
      <c r="G538" s="143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</row>
    <row r="539" spans="1:19" ht="19.5">
      <c r="A539" s="136"/>
      <c r="B539" s="143"/>
      <c r="C539" s="143"/>
      <c r="D539" s="143"/>
      <c r="E539" s="143"/>
      <c r="F539" s="143"/>
      <c r="G539" s="143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</row>
    <row r="540" spans="1:19" ht="19.5">
      <c r="A540" s="136"/>
      <c r="B540" s="143"/>
      <c r="C540" s="143"/>
      <c r="D540" s="143"/>
      <c r="E540" s="143"/>
      <c r="F540" s="143"/>
      <c r="G540" s="143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</row>
    <row r="541" spans="1:19" ht="19.5">
      <c r="A541" s="136"/>
      <c r="B541" s="143"/>
      <c r="C541" s="143"/>
      <c r="D541" s="143"/>
      <c r="E541" s="143"/>
      <c r="F541" s="143"/>
      <c r="G541" s="143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</row>
    <row r="542" spans="1:19" ht="19.5">
      <c r="A542" s="136"/>
      <c r="B542" s="143"/>
      <c r="C542" s="143"/>
      <c r="D542" s="143"/>
      <c r="E542" s="143"/>
      <c r="F542" s="143"/>
      <c r="G542" s="143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</row>
    <row r="543" spans="1:19" ht="19.5">
      <c r="A543" s="136"/>
      <c r="B543" s="143"/>
      <c r="C543" s="143"/>
      <c r="D543" s="143"/>
      <c r="E543" s="143"/>
      <c r="F543" s="143"/>
      <c r="G543" s="143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</row>
    <row r="544" spans="1:19" ht="19.5">
      <c r="A544" s="136"/>
      <c r="B544" s="143"/>
      <c r="C544" s="143"/>
      <c r="D544" s="143"/>
      <c r="E544" s="143"/>
      <c r="F544" s="143"/>
      <c r="G544" s="143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</row>
    <row r="545" spans="1:19" ht="19.5">
      <c r="A545" s="136"/>
      <c r="B545" s="143"/>
      <c r="C545" s="143"/>
      <c r="D545" s="143"/>
      <c r="E545" s="143"/>
      <c r="F545" s="143"/>
      <c r="G545" s="143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</row>
    <row r="546" spans="1:19" ht="19.5">
      <c r="A546" s="136"/>
      <c r="B546" s="143"/>
      <c r="C546" s="143"/>
      <c r="D546" s="143"/>
      <c r="E546" s="143"/>
      <c r="F546" s="143"/>
      <c r="G546" s="143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</row>
    <row r="547" spans="1:19" ht="19.5">
      <c r="A547" s="136"/>
      <c r="B547" s="143"/>
      <c r="C547" s="143"/>
      <c r="D547" s="143"/>
      <c r="E547" s="143"/>
      <c r="F547" s="143"/>
      <c r="G547" s="143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</row>
    <row r="548" spans="1:19" ht="19.5">
      <c r="A548" s="136"/>
      <c r="B548" s="143"/>
      <c r="C548" s="143"/>
      <c r="D548" s="143"/>
      <c r="E548" s="143"/>
      <c r="F548" s="143"/>
      <c r="G548" s="143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</row>
    <row r="549" spans="1:19" ht="19.5">
      <c r="A549" s="136"/>
      <c r="B549" s="143"/>
      <c r="C549" s="143"/>
      <c r="D549" s="143"/>
      <c r="E549" s="143"/>
      <c r="F549" s="143"/>
      <c r="G549" s="143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</row>
    <row r="550" spans="1:19" ht="19.5">
      <c r="A550" s="136"/>
      <c r="B550" s="143"/>
      <c r="C550" s="143"/>
      <c r="D550" s="143"/>
      <c r="E550" s="143"/>
      <c r="F550" s="143"/>
      <c r="G550" s="143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</row>
    <row r="551" spans="1:19" ht="19.5">
      <c r="A551" s="136"/>
      <c r="B551" s="143"/>
      <c r="C551" s="143"/>
      <c r="D551" s="143"/>
      <c r="E551" s="143"/>
      <c r="F551" s="143"/>
      <c r="G551" s="143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</row>
    <row r="552" spans="1:19" ht="19.5">
      <c r="A552" s="136"/>
      <c r="B552" s="143"/>
      <c r="C552" s="143"/>
      <c r="D552" s="143"/>
      <c r="E552" s="143"/>
      <c r="F552" s="143"/>
      <c r="G552" s="143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</row>
    <row r="553" spans="1:19" ht="19.5">
      <c r="A553" s="136"/>
      <c r="B553" s="143"/>
      <c r="C553" s="143"/>
      <c r="D553" s="143"/>
      <c r="E553" s="143"/>
      <c r="F553" s="143"/>
      <c r="G553" s="143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</row>
    <row r="554" spans="1:19" ht="19.5">
      <c r="A554" s="136"/>
      <c r="B554" s="143"/>
      <c r="C554" s="143"/>
      <c r="D554" s="143"/>
      <c r="E554" s="143"/>
      <c r="F554" s="143"/>
      <c r="G554" s="143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</row>
    <row r="555" spans="1:19" ht="19.5">
      <c r="A555" s="136"/>
      <c r="B555" s="143"/>
      <c r="C555" s="143"/>
      <c r="D555" s="143"/>
      <c r="E555" s="143"/>
      <c r="F555" s="143"/>
      <c r="G555" s="143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</row>
    <row r="556" spans="1:19" ht="19.5">
      <c r="A556" s="136"/>
      <c r="B556" s="143"/>
      <c r="C556" s="143"/>
      <c r="D556" s="143"/>
      <c r="E556" s="143"/>
      <c r="F556" s="143"/>
      <c r="G556" s="143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</row>
    <row r="557" spans="1:19" ht="19.5">
      <c r="A557" s="136"/>
      <c r="B557" s="143"/>
      <c r="C557" s="143"/>
      <c r="D557" s="143"/>
      <c r="E557" s="143"/>
      <c r="F557" s="143"/>
      <c r="G557" s="143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</row>
    <row r="558" spans="1:19" ht="19.5">
      <c r="A558" s="136"/>
      <c r="B558" s="143"/>
      <c r="C558" s="143"/>
      <c r="D558" s="143"/>
      <c r="E558" s="143"/>
      <c r="F558" s="143"/>
      <c r="G558" s="143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</row>
    <row r="559" spans="1:19" ht="19.5">
      <c r="A559" s="136"/>
      <c r="B559" s="143"/>
      <c r="C559" s="143"/>
      <c r="D559" s="143"/>
      <c r="E559" s="143"/>
      <c r="F559" s="143"/>
      <c r="G559" s="143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</row>
    <row r="560" spans="1:19" ht="19.5">
      <c r="A560" s="136"/>
      <c r="B560" s="143"/>
      <c r="C560" s="143"/>
      <c r="D560" s="143"/>
      <c r="E560" s="143"/>
      <c r="F560" s="143"/>
      <c r="G560" s="143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</row>
    <row r="561" spans="1:19" ht="19.5">
      <c r="A561" s="136"/>
      <c r="B561" s="143"/>
      <c r="C561" s="143"/>
      <c r="D561" s="143"/>
      <c r="E561" s="143"/>
      <c r="F561" s="143"/>
      <c r="G561" s="143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</row>
    <row r="562" spans="1:19" ht="19.5">
      <c r="A562" s="136"/>
      <c r="B562" s="143"/>
      <c r="C562" s="143"/>
      <c r="D562" s="143"/>
      <c r="E562" s="143"/>
      <c r="F562" s="143"/>
      <c r="G562" s="143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</row>
    <row r="563" spans="1:19" ht="19.5">
      <c r="A563" s="136"/>
      <c r="B563" s="143"/>
      <c r="C563" s="143"/>
      <c r="D563" s="143"/>
      <c r="E563" s="143"/>
      <c r="F563" s="143"/>
      <c r="G563" s="143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</row>
    <row r="564" spans="1:19" ht="19.5">
      <c r="A564" s="136"/>
      <c r="B564" s="143"/>
      <c r="C564" s="143"/>
      <c r="D564" s="143"/>
      <c r="E564" s="143"/>
      <c r="F564" s="143"/>
      <c r="G564" s="143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</row>
    <row r="565" spans="1:19" ht="19.5">
      <c r="A565" s="136"/>
      <c r="B565" s="143"/>
      <c r="C565" s="143"/>
      <c r="D565" s="143"/>
      <c r="E565" s="143"/>
      <c r="F565" s="143"/>
      <c r="G565" s="143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</row>
    <row r="566" spans="1:19" ht="19.5">
      <c r="A566" s="136"/>
      <c r="B566" s="143"/>
      <c r="C566" s="143"/>
      <c r="D566" s="143"/>
      <c r="E566" s="143"/>
      <c r="F566" s="143"/>
      <c r="G566" s="143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</row>
    <row r="567" spans="1:19" ht="19.5">
      <c r="A567" s="136"/>
      <c r="B567" s="143"/>
      <c r="C567" s="143"/>
      <c r="D567" s="143"/>
      <c r="E567" s="143"/>
      <c r="F567" s="143"/>
      <c r="G567" s="143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</row>
    <row r="568" spans="1:19" ht="19.5">
      <c r="A568" s="136"/>
      <c r="B568" s="143"/>
      <c r="C568" s="143"/>
      <c r="D568" s="143"/>
      <c r="E568" s="143"/>
      <c r="F568" s="143"/>
      <c r="G568" s="143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</row>
    <row r="569" spans="1:19" ht="19.5">
      <c r="A569" s="136"/>
      <c r="B569" s="143"/>
      <c r="C569" s="143"/>
      <c r="D569" s="143"/>
      <c r="E569" s="143"/>
      <c r="F569" s="143"/>
      <c r="G569" s="143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</row>
    <row r="570" spans="1:19" ht="19.5">
      <c r="A570" s="136"/>
      <c r="B570" s="143"/>
      <c r="C570" s="143"/>
      <c r="D570" s="143"/>
      <c r="E570" s="143"/>
      <c r="F570" s="143"/>
      <c r="G570" s="143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</row>
    <row r="571" spans="1:19" ht="19.5">
      <c r="A571" s="136"/>
      <c r="B571" s="143"/>
      <c r="C571" s="143"/>
      <c r="D571" s="143"/>
      <c r="E571" s="143"/>
      <c r="F571" s="143"/>
      <c r="G571" s="143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</row>
    <row r="572" spans="1:19" ht="19.5">
      <c r="A572" s="136"/>
      <c r="B572" s="143"/>
      <c r="C572" s="143"/>
      <c r="D572" s="143"/>
      <c r="E572" s="143"/>
      <c r="F572" s="143"/>
      <c r="G572" s="143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</row>
    <row r="573" spans="1:19" ht="19.5">
      <c r="A573" s="136"/>
      <c r="B573" s="143"/>
      <c r="C573" s="143"/>
      <c r="D573" s="143"/>
      <c r="E573" s="143"/>
      <c r="F573" s="143"/>
      <c r="G573" s="143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</row>
    <row r="574" spans="1:19" ht="19.5">
      <c r="A574" s="136"/>
      <c r="B574" s="143"/>
      <c r="C574" s="143"/>
      <c r="D574" s="143"/>
      <c r="E574" s="143"/>
      <c r="F574" s="143"/>
      <c r="G574" s="143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</row>
    <row r="575" spans="1:19" ht="19.5">
      <c r="A575" s="136"/>
      <c r="B575" s="143"/>
      <c r="C575" s="143"/>
      <c r="D575" s="143"/>
      <c r="E575" s="143"/>
      <c r="F575" s="143"/>
      <c r="G575" s="143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</row>
    <row r="576" spans="1:19" ht="19.5">
      <c r="A576" s="136"/>
      <c r="B576" s="143"/>
      <c r="C576" s="143"/>
      <c r="D576" s="143"/>
      <c r="E576" s="143"/>
      <c r="F576" s="143"/>
      <c r="G576" s="143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</row>
    <row r="577" spans="1:19" ht="19.5">
      <c r="A577" s="136"/>
      <c r="B577" s="143"/>
      <c r="C577" s="143"/>
      <c r="D577" s="143"/>
      <c r="E577" s="143"/>
      <c r="F577" s="143"/>
      <c r="G577" s="143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</row>
    <row r="578" spans="1:19" ht="19.5">
      <c r="A578" s="136"/>
      <c r="B578" s="143"/>
      <c r="C578" s="143"/>
      <c r="D578" s="143"/>
      <c r="E578" s="143"/>
      <c r="F578" s="143"/>
      <c r="G578" s="143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</row>
    <row r="579" spans="1:19" ht="19.5">
      <c r="A579" s="136"/>
      <c r="B579" s="143"/>
      <c r="C579" s="143"/>
      <c r="D579" s="143"/>
      <c r="E579" s="143"/>
      <c r="F579" s="143"/>
      <c r="G579" s="143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</row>
    <row r="580" spans="1:19" ht="19.5">
      <c r="A580" s="136"/>
      <c r="B580" s="143"/>
      <c r="C580" s="143"/>
      <c r="D580" s="143"/>
      <c r="E580" s="143"/>
      <c r="F580" s="143"/>
      <c r="G580" s="143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</row>
    <row r="581" spans="1:19" ht="19.5">
      <c r="A581" s="136"/>
      <c r="B581" s="143"/>
      <c r="C581" s="143"/>
      <c r="D581" s="143"/>
      <c r="E581" s="143"/>
      <c r="F581" s="143"/>
      <c r="G581" s="143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</row>
    <row r="582" spans="1:19" ht="19.5">
      <c r="A582" s="136"/>
      <c r="B582" s="143"/>
      <c r="C582" s="143"/>
      <c r="D582" s="143"/>
      <c r="E582" s="143"/>
      <c r="F582" s="143"/>
      <c r="G582" s="143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</row>
    <row r="583" spans="1:19" ht="19.5">
      <c r="A583" s="136"/>
      <c r="B583" s="143"/>
      <c r="C583" s="143"/>
      <c r="D583" s="143"/>
      <c r="E583" s="143"/>
      <c r="F583" s="143"/>
      <c r="G583" s="143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</row>
    <row r="584" spans="1:19" ht="19.5">
      <c r="A584" s="136"/>
      <c r="B584" s="143"/>
      <c r="C584" s="143"/>
      <c r="D584" s="143"/>
      <c r="E584" s="143"/>
      <c r="F584" s="143"/>
      <c r="G584" s="143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</row>
    <row r="585" spans="1:19" ht="19.5">
      <c r="A585" s="136"/>
      <c r="B585" s="143"/>
      <c r="C585" s="143"/>
      <c r="D585" s="143"/>
      <c r="E585" s="143"/>
      <c r="F585" s="143"/>
      <c r="G585" s="143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</row>
    <row r="586" spans="1:19" ht="19.5">
      <c r="A586" s="136"/>
      <c r="B586" s="143"/>
      <c r="C586" s="143"/>
      <c r="D586" s="143"/>
      <c r="E586" s="143"/>
      <c r="F586" s="143"/>
      <c r="G586" s="143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</row>
    <row r="587" spans="1:19" ht="19.5">
      <c r="A587" s="136"/>
      <c r="B587" s="143"/>
      <c r="C587" s="143"/>
      <c r="D587" s="143"/>
      <c r="E587" s="143"/>
      <c r="F587" s="143"/>
      <c r="G587" s="143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</row>
    <row r="588" spans="1:19" ht="19.5">
      <c r="A588" s="136"/>
      <c r="B588" s="143"/>
      <c r="C588" s="143"/>
      <c r="D588" s="143"/>
      <c r="E588" s="143"/>
      <c r="F588" s="143"/>
      <c r="G588" s="143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</row>
    <row r="589" spans="1:19" ht="19.5">
      <c r="A589" s="136"/>
      <c r="B589" s="143"/>
      <c r="C589" s="143"/>
      <c r="D589" s="143"/>
      <c r="E589" s="143"/>
      <c r="F589" s="143"/>
      <c r="G589" s="143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</row>
    <row r="590" spans="1:19" ht="19.5">
      <c r="A590" s="136"/>
      <c r="B590" s="143"/>
      <c r="C590" s="143"/>
      <c r="D590" s="143"/>
      <c r="E590" s="143"/>
      <c r="F590" s="143"/>
      <c r="G590" s="143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</row>
    <row r="591" spans="1:19" ht="19.5">
      <c r="A591" s="136"/>
      <c r="B591" s="143"/>
      <c r="C591" s="143"/>
      <c r="D591" s="143"/>
      <c r="E591" s="143"/>
      <c r="F591" s="143"/>
      <c r="G591" s="143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</row>
    <row r="592" spans="1:19" ht="19.5">
      <c r="A592" s="136"/>
      <c r="B592" s="143"/>
      <c r="C592" s="143"/>
      <c r="D592" s="143"/>
      <c r="E592" s="143"/>
      <c r="F592" s="143"/>
      <c r="G592" s="143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</row>
    <row r="593" spans="1:19" ht="19.5">
      <c r="A593" s="136"/>
      <c r="B593" s="143"/>
      <c r="C593" s="143"/>
      <c r="D593" s="143"/>
      <c r="E593" s="143"/>
      <c r="F593" s="143"/>
      <c r="G593" s="143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</row>
    <row r="594" spans="1:19" ht="19.5">
      <c r="A594" s="136"/>
      <c r="B594" s="143"/>
      <c r="C594" s="143"/>
      <c r="D594" s="143"/>
      <c r="E594" s="143"/>
      <c r="F594" s="143"/>
      <c r="G594" s="143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</row>
    <row r="595" spans="1:19" ht="19.5">
      <c r="A595" s="136"/>
      <c r="B595" s="143"/>
      <c r="C595" s="143"/>
      <c r="D595" s="143"/>
      <c r="E595" s="143"/>
      <c r="F595" s="143"/>
      <c r="G595" s="143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</row>
    <row r="596" spans="1:19" ht="19.5">
      <c r="A596" s="136"/>
      <c r="B596" s="143"/>
      <c r="C596" s="143"/>
      <c r="D596" s="143"/>
      <c r="E596" s="143"/>
      <c r="F596" s="143"/>
      <c r="G596" s="143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</row>
    <row r="597" spans="1:19" ht="19.5">
      <c r="A597" s="136"/>
      <c r="B597" s="143"/>
      <c r="C597" s="143"/>
      <c r="D597" s="143"/>
      <c r="E597" s="143"/>
      <c r="F597" s="143"/>
      <c r="G597" s="143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</row>
    <row r="598" spans="1:19" ht="19.5">
      <c r="A598" s="136"/>
      <c r="B598" s="143"/>
      <c r="C598" s="143"/>
      <c r="D598" s="143"/>
      <c r="E598" s="143"/>
      <c r="F598" s="143"/>
      <c r="G598" s="143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</row>
    <row r="599" spans="1:19" ht="19.5">
      <c r="A599" s="136"/>
      <c r="B599" s="143"/>
      <c r="C599" s="143"/>
      <c r="D599" s="143"/>
      <c r="E599" s="143"/>
      <c r="F599" s="143"/>
      <c r="G599" s="143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</row>
    <row r="600" spans="1:19" ht="19.5">
      <c r="A600" s="136"/>
      <c r="B600" s="143"/>
      <c r="C600" s="143"/>
      <c r="D600" s="143"/>
      <c r="E600" s="143"/>
      <c r="F600" s="143"/>
      <c r="G600" s="143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</row>
    <row r="601" spans="1:19" ht="19.5">
      <c r="A601" s="136"/>
      <c r="B601" s="143"/>
      <c r="C601" s="143"/>
      <c r="D601" s="143"/>
      <c r="E601" s="143"/>
      <c r="F601" s="143"/>
      <c r="G601" s="143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</row>
    <row r="602" spans="1:19" ht="19.5">
      <c r="A602" s="136"/>
      <c r="B602" s="143"/>
      <c r="C602" s="143"/>
      <c r="D602" s="143"/>
      <c r="E602" s="143"/>
      <c r="F602" s="143"/>
      <c r="G602" s="143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</row>
    <row r="603" spans="1:19" ht="19.5">
      <c r="A603" s="136"/>
      <c r="B603" s="143"/>
      <c r="C603" s="143"/>
      <c r="D603" s="143"/>
      <c r="E603" s="143"/>
      <c r="F603" s="143"/>
      <c r="G603" s="143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</row>
    <row r="604" spans="1:19" ht="19.5">
      <c r="A604" s="136"/>
      <c r="B604" s="143"/>
      <c r="C604" s="143"/>
      <c r="D604" s="143"/>
      <c r="E604" s="143"/>
      <c r="F604" s="143"/>
      <c r="G604" s="143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</row>
    <row r="605" spans="1:19" ht="19.5">
      <c r="A605" s="136"/>
      <c r="B605" s="143"/>
      <c r="C605" s="143"/>
      <c r="D605" s="143"/>
      <c r="E605" s="143"/>
      <c r="F605" s="143"/>
      <c r="G605" s="143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</row>
    <row r="606" spans="1:19" ht="19.5">
      <c r="A606" s="136"/>
      <c r="B606" s="143"/>
      <c r="C606" s="143"/>
      <c r="D606" s="143"/>
      <c r="E606" s="143"/>
      <c r="F606" s="143"/>
      <c r="G606" s="143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</row>
    <row r="607" spans="1:19" ht="19.5">
      <c r="A607" s="136"/>
      <c r="B607" s="143"/>
      <c r="C607" s="143"/>
      <c r="D607" s="143"/>
      <c r="E607" s="143"/>
      <c r="F607" s="143"/>
      <c r="G607" s="143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</row>
    <row r="608" spans="1:19" ht="19.5">
      <c r="A608" s="136"/>
      <c r="B608" s="143"/>
      <c r="C608" s="143"/>
      <c r="D608" s="143"/>
      <c r="E608" s="143"/>
      <c r="F608" s="143"/>
      <c r="G608" s="143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</row>
    <row r="609" spans="1:19" ht="19.5">
      <c r="A609" s="136"/>
      <c r="B609" s="143"/>
      <c r="C609" s="143"/>
      <c r="D609" s="143"/>
      <c r="E609" s="143"/>
      <c r="F609" s="143"/>
      <c r="G609" s="143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</row>
    <row r="610" spans="1:19" ht="19.5">
      <c r="A610" s="136"/>
      <c r="B610" s="143"/>
      <c r="C610" s="143"/>
      <c r="D610" s="143"/>
      <c r="E610" s="143"/>
      <c r="F610" s="143"/>
      <c r="G610" s="143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</row>
    <row r="611" spans="1:19" ht="19.5">
      <c r="A611" s="136"/>
      <c r="B611" s="143"/>
      <c r="C611" s="143"/>
      <c r="D611" s="143"/>
      <c r="E611" s="143"/>
      <c r="F611" s="143"/>
      <c r="G611" s="143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</row>
    <row r="612" spans="1:19" ht="19.5">
      <c r="A612" s="136"/>
      <c r="B612" s="143"/>
      <c r="C612" s="143"/>
      <c r="D612" s="143"/>
      <c r="E612" s="143"/>
      <c r="F612" s="143"/>
      <c r="G612" s="143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</row>
    <row r="613" spans="1:19" ht="19.5">
      <c r="A613" s="136"/>
      <c r="B613" s="143"/>
      <c r="C613" s="143"/>
      <c r="D613" s="143"/>
      <c r="E613" s="143"/>
      <c r="F613" s="143"/>
      <c r="G613" s="143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</row>
    <row r="614" spans="1:19" ht="19.5">
      <c r="A614" s="136"/>
      <c r="B614" s="143"/>
      <c r="C614" s="143"/>
      <c r="D614" s="143"/>
      <c r="E614" s="143"/>
      <c r="F614" s="143"/>
      <c r="G614" s="143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</row>
    <row r="615" spans="1:19" ht="19.5">
      <c r="A615" s="136"/>
      <c r="B615" s="143"/>
      <c r="C615" s="143"/>
      <c r="D615" s="143"/>
      <c r="E615" s="143"/>
      <c r="F615" s="143"/>
      <c r="G615" s="143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</row>
    <row r="616" spans="1:19" ht="19.5">
      <c r="A616" s="136"/>
      <c r="B616" s="143"/>
      <c r="C616" s="143"/>
      <c r="D616" s="143"/>
      <c r="E616" s="143"/>
      <c r="F616" s="143"/>
      <c r="G616" s="143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</row>
    <row r="617" spans="1:19" ht="19.5">
      <c r="A617" s="136"/>
      <c r="B617" s="143"/>
      <c r="C617" s="143"/>
      <c r="D617" s="143"/>
      <c r="E617" s="143"/>
      <c r="F617" s="143"/>
      <c r="G617" s="143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</row>
    <row r="618" spans="1:19" ht="19.5">
      <c r="A618" s="136"/>
      <c r="B618" s="143"/>
      <c r="C618" s="143"/>
      <c r="D618" s="143"/>
      <c r="E618" s="143"/>
      <c r="F618" s="143"/>
      <c r="G618" s="143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</row>
    <row r="619" spans="1:19" ht="19.5">
      <c r="A619" s="136"/>
      <c r="B619" s="143"/>
      <c r="C619" s="143"/>
      <c r="D619" s="143"/>
      <c r="E619" s="143"/>
      <c r="F619" s="143"/>
      <c r="G619" s="143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</row>
    <row r="620" spans="1:19" ht="19.5">
      <c r="A620" s="136"/>
      <c r="B620" s="143"/>
      <c r="C620" s="143"/>
      <c r="D620" s="143"/>
      <c r="E620" s="143"/>
      <c r="F620" s="143"/>
      <c r="G620" s="143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</row>
    <row r="621" spans="1:19" ht="19.5">
      <c r="A621" s="136"/>
      <c r="B621" s="143"/>
      <c r="C621" s="143"/>
      <c r="D621" s="143"/>
      <c r="E621" s="143"/>
      <c r="F621" s="143"/>
      <c r="G621" s="143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</row>
    <row r="622" spans="1:19" ht="19.5">
      <c r="A622" s="136"/>
      <c r="B622" s="143"/>
      <c r="C622" s="143"/>
      <c r="D622" s="143"/>
      <c r="E622" s="143"/>
      <c r="F622" s="143"/>
      <c r="G622" s="143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</row>
    <row r="623" spans="1:19" ht="19.5">
      <c r="A623" s="136"/>
      <c r="B623" s="143"/>
      <c r="C623" s="143"/>
      <c r="D623" s="143"/>
      <c r="E623" s="143"/>
      <c r="F623" s="143"/>
      <c r="G623" s="143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</row>
    <row r="624" spans="1:19" ht="19.5">
      <c r="A624" s="136"/>
      <c r="B624" s="143"/>
      <c r="C624" s="143"/>
      <c r="D624" s="143"/>
      <c r="E624" s="143"/>
      <c r="F624" s="143"/>
      <c r="G624" s="143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</row>
    <row r="625" spans="1:19" ht="19.5">
      <c r="A625" s="136"/>
      <c r="B625" s="143"/>
      <c r="C625" s="143"/>
      <c r="D625" s="143"/>
      <c r="E625" s="143"/>
      <c r="F625" s="143"/>
      <c r="G625" s="143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</row>
    <row r="626" spans="1:19" ht="19.5">
      <c r="A626" s="136"/>
      <c r="B626" s="143"/>
      <c r="C626" s="143"/>
      <c r="D626" s="143"/>
      <c r="E626" s="143"/>
      <c r="F626" s="143"/>
      <c r="G626" s="143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</row>
    <row r="627" spans="1:19" ht="19.5">
      <c r="A627" s="136"/>
      <c r="B627" s="143"/>
      <c r="C627" s="143"/>
      <c r="D627" s="143"/>
      <c r="E627" s="143"/>
      <c r="F627" s="143"/>
      <c r="G627" s="143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</row>
    <row r="628" spans="1:19" ht="19.5">
      <c r="A628" s="136"/>
      <c r="B628" s="143"/>
      <c r="C628" s="143"/>
      <c r="D628" s="143"/>
      <c r="E628" s="143"/>
      <c r="F628" s="143"/>
      <c r="G628" s="143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</row>
    <row r="629" spans="1:19" ht="19.5">
      <c r="A629" s="136"/>
      <c r="B629" s="143"/>
      <c r="C629" s="143"/>
      <c r="D629" s="143"/>
      <c r="E629" s="143"/>
      <c r="F629" s="143"/>
      <c r="G629" s="143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</row>
    <row r="630" spans="1:19" ht="19.5">
      <c r="A630" s="136"/>
      <c r="B630" s="143"/>
      <c r="C630" s="143"/>
      <c r="D630" s="143"/>
      <c r="E630" s="143"/>
      <c r="F630" s="143"/>
      <c r="G630" s="143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</row>
    <row r="631" spans="1:19" ht="19.5">
      <c r="A631" s="136"/>
      <c r="B631" s="143"/>
      <c r="C631" s="143"/>
      <c r="D631" s="143"/>
      <c r="E631" s="143"/>
      <c r="F631" s="143"/>
      <c r="G631" s="143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</row>
    <row r="632" spans="1:19" ht="19.5">
      <c r="A632" s="136"/>
      <c r="B632" s="143"/>
      <c r="C632" s="143"/>
      <c r="D632" s="143"/>
      <c r="E632" s="143"/>
      <c r="F632" s="143"/>
      <c r="G632" s="143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</row>
    <row r="633" spans="1:19" ht="19.5">
      <c r="A633" s="136"/>
      <c r="B633" s="143"/>
      <c r="C633" s="143"/>
      <c r="D633" s="143"/>
      <c r="E633" s="143"/>
      <c r="F633" s="143"/>
      <c r="G633" s="143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</row>
    <row r="634" spans="1:19" ht="19.5">
      <c r="A634" s="136"/>
      <c r="B634" s="143"/>
      <c r="C634" s="143"/>
      <c r="D634" s="143"/>
      <c r="E634" s="143"/>
      <c r="F634" s="143"/>
      <c r="G634" s="143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</row>
    <row r="635" spans="1:19" ht="19.5">
      <c r="A635" s="136"/>
      <c r="B635" s="143"/>
      <c r="C635" s="143"/>
      <c r="D635" s="143"/>
      <c r="E635" s="143"/>
      <c r="F635" s="143"/>
      <c r="G635" s="143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</row>
    <row r="636" spans="1:19" ht="19.5">
      <c r="A636" s="136"/>
      <c r="B636" s="143"/>
      <c r="C636" s="143"/>
      <c r="D636" s="143"/>
      <c r="E636" s="143"/>
      <c r="F636" s="143"/>
      <c r="G636" s="143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</row>
    <row r="637" spans="1:19" ht="19.5">
      <c r="A637" s="136"/>
      <c r="B637" s="143"/>
      <c r="C637" s="143"/>
      <c r="D637" s="143"/>
      <c r="E637" s="143"/>
      <c r="F637" s="143"/>
      <c r="G637" s="143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</row>
    <row r="638" spans="1:19" ht="19.5">
      <c r="A638" s="136"/>
      <c r="B638" s="143"/>
      <c r="C638" s="143"/>
      <c r="D638" s="143"/>
      <c r="E638" s="143"/>
      <c r="F638" s="143"/>
      <c r="G638" s="143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</row>
    <row r="639" spans="1:19" ht="19.5">
      <c r="A639" s="136"/>
      <c r="B639" s="143"/>
      <c r="C639" s="143"/>
      <c r="D639" s="143"/>
      <c r="E639" s="143"/>
      <c r="F639" s="143"/>
      <c r="G639" s="143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</row>
    <row r="640" spans="1:19" ht="19.5">
      <c r="A640" s="136"/>
      <c r="B640" s="143"/>
      <c r="C640" s="143"/>
      <c r="D640" s="143"/>
      <c r="E640" s="143"/>
      <c r="F640" s="143"/>
      <c r="G640" s="143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</row>
    <row r="641" spans="1:19" ht="19.5">
      <c r="A641" s="136"/>
      <c r="B641" s="143"/>
      <c r="C641" s="143"/>
      <c r="D641" s="143"/>
      <c r="E641" s="143"/>
      <c r="F641" s="143"/>
      <c r="G641" s="143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</row>
    <row r="642" spans="1:19" ht="19.5">
      <c r="A642" s="136"/>
      <c r="B642" s="143"/>
      <c r="C642" s="143"/>
      <c r="D642" s="143"/>
      <c r="E642" s="143"/>
      <c r="F642" s="143"/>
      <c r="G642" s="143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</row>
    <row r="643" spans="1:19" ht="19.5">
      <c r="A643" s="136"/>
      <c r="B643" s="143"/>
      <c r="C643" s="143"/>
      <c r="D643" s="143"/>
      <c r="E643" s="143"/>
      <c r="F643" s="143"/>
      <c r="G643" s="143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</row>
    <row r="644" spans="1:19" ht="19.5">
      <c r="A644" s="136"/>
      <c r="B644" s="143"/>
      <c r="C644" s="143"/>
      <c r="D644" s="143"/>
      <c r="E644" s="143"/>
      <c r="F644" s="143"/>
      <c r="G644" s="143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</row>
    <row r="645" spans="1:19" ht="19.5">
      <c r="A645" s="136"/>
      <c r="B645" s="143"/>
      <c r="C645" s="143"/>
      <c r="D645" s="143"/>
      <c r="E645" s="143"/>
      <c r="F645" s="143"/>
      <c r="G645" s="143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</row>
    <row r="646" spans="1:19" ht="19.5">
      <c r="A646" s="136"/>
      <c r="B646" s="143"/>
      <c r="C646" s="143"/>
      <c r="D646" s="143"/>
      <c r="E646" s="143"/>
      <c r="F646" s="143"/>
      <c r="G646" s="143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</row>
    <row r="647" spans="1:19" ht="19.5">
      <c r="A647" s="136"/>
      <c r="B647" s="143"/>
      <c r="C647" s="143"/>
      <c r="D647" s="143"/>
      <c r="E647" s="143"/>
      <c r="F647" s="143"/>
      <c r="G647" s="143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</row>
    <row r="648" spans="1:19" ht="19.5">
      <c r="A648" s="136"/>
      <c r="B648" s="143"/>
      <c r="C648" s="143"/>
      <c r="D648" s="143"/>
      <c r="E648" s="143"/>
      <c r="F648" s="143"/>
      <c r="G648" s="143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</row>
    <row r="649" spans="1:19" ht="19.5">
      <c r="A649" s="136"/>
      <c r="B649" s="143"/>
      <c r="C649" s="143"/>
      <c r="D649" s="143"/>
      <c r="E649" s="143"/>
      <c r="F649" s="143"/>
      <c r="G649" s="143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</row>
    <row r="650" spans="1:19" ht="19.5">
      <c r="A650" s="136"/>
      <c r="B650" s="143"/>
      <c r="C650" s="143"/>
      <c r="D650" s="143"/>
      <c r="E650" s="143"/>
      <c r="F650" s="143"/>
      <c r="G650" s="143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</row>
    <row r="651" spans="1:19" ht="19.5">
      <c r="A651" s="136"/>
      <c r="B651" s="143"/>
      <c r="C651" s="143"/>
      <c r="D651" s="143"/>
      <c r="E651" s="143"/>
      <c r="F651" s="143"/>
      <c r="G651" s="143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</row>
    <row r="652" spans="1:19" ht="19.5">
      <c r="A652" s="136"/>
      <c r="B652" s="143"/>
      <c r="C652" s="143"/>
      <c r="D652" s="143"/>
      <c r="E652" s="143"/>
      <c r="F652" s="143"/>
      <c r="G652" s="143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</row>
    <row r="653" spans="1:19" ht="19.5">
      <c r="A653" s="136"/>
      <c r="B653" s="143"/>
      <c r="C653" s="143"/>
      <c r="D653" s="143"/>
      <c r="E653" s="143"/>
      <c r="F653" s="143"/>
      <c r="G653" s="143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</row>
    <row r="654" spans="1:19" ht="19.5">
      <c r="A654" s="136"/>
      <c r="B654" s="143"/>
      <c r="C654" s="143"/>
      <c r="D654" s="143"/>
      <c r="E654" s="143"/>
      <c r="F654" s="143"/>
      <c r="G654" s="143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</row>
    <row r="655" spans="1:19" ht="19.5">
      <c r="A655" s="136"/>
      <c r="B655" s="143"/>
      <c r="C655" s="143"/>
      <c r="D655" s="143"/>
      <c r="E655" s="143"/>
      <c r="F655" s="143"/>
      <c r="G655" s="143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</row>
    <row r="656" spans="1:19" ht="19.5">
      <c r="A656" s="136"/>
      <c r="B656" s="143"/>
      <c r="C656" s="143"/>
      <c r="D656" s="143"/>
      <c r="E656" s="143"/>
      <c r="F656" s="143"/>
      <c r="G656" s="143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</row>
    <row r="657" spans="1:19" ht="19.5">
      <c r="A657" s="136"/>
      <c r="B657" s="143"/>
      <c r="C657" s="143"/>
      <c r="D657" s="143"/>
      <c r="E657" s="143"/>
      <c r="F657" s="143"/>
      <c r="G657" s="143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</row>
    <row r="658" spans="1:19" ht="19.5">
      <c r="A658" s="136"/>
      <c r="B658" s="143"/>
      <c r="C658" s="143"/>
      <c r="D658" s="143"/>
      <c r="E658" s="143"/>
      <c r="F658" s="143"/>
      <c r="G658" s="143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</row>
    <row r="659" spans="1:19" ht="19.5">
      <c r="A659" s="136"/>
      <c r="B659" s="143"/>
      <c r="C659" s="143"/>
      <c r="D659" s="143"/>
      <c r="E659" s="143"/>
      <c r="F659" s="143"/>
      <c r="G659" s="143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</row>
    <row r="660" spans="1:19" ht="19.5">
      <c r="A660" s="136"/>
      <c r="B660" s="143"/>
      <c r="C660" s="143"/>
      <c r="D660" s="143"/>
      <c r="E660" s="143"/>
      <c r="F660" s="143"/>
      <c r="G660" s="143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</row>
    <row r="661" spans="1:19" ht="19.5">
      <c r="A661" s="136"/>
      <c r="B661" s="143"/>
      <c r="C661" s="143"/>
      <c r="D661" s="143"/>
      <c r="E661" s="143"/>
      <c r="F661" s="143"/>
      <c r="G661" s="143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</row>
    <row r="662" spans="1:19" ht="19.5">
      <c r="A662" s="136"/>
      <c r="B662" s="143"/>
      <c r="C662" s="143"/>
      <c r="D662" s="143"/>
      <c r="E662" s="143"/>
      <c r="F662" s="143"/>
      <c r="G662" s="143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</row>
    <row r="663" spans="1:19" ht="19.5">
      <c r="A663" s="136"/>
      <c r="B663" s="143"/>
      <c r="C663" s="143"/>
      <c r="D663" s="143"/>
      <c r="E663" s="143"/>
      <c r="F663" s="143"/>
      <c r="G663" s="143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</row>
    <row r="664" spans="1:19" ht="19.5">
      <c r="A664" s="136"/>
      <c r="B664" s="143"/>
      <c r="C664" s="143"/>
      <c r="D664" s="143"/>
      <c r="E664" s="143"/>
      <c r="F664" s="143"/>
      <c r="G664" s="143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</row>
    <row r="665" spans="1:19" ht="19.5">
      <c r="A665" s="136"/>
      <c r="B665" s="143"/>
      <c r="C665" s="143"/>
      <c r="D665" s="143"/>
      <c r="E665" s="143"/>
      <c r="F665" s="143"/>
      <c r="G665" s="143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</row>
    <row r="666" spans="1:19" ht="19.5">
      <c r="A666" s="136"/>
      <c r="B666" s="143"/>
      <c r="C666" s="143"/>
      <c r="D666" s="143"/>
      <c r="E666" s="143"/>
      <c r="F666" s="143"/>
      <c r="G666" s="143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</row>
    <row r="667" spans="1:19" ht="19.5">
      <c r="A667" s="136"/>
      <c r="B667" s="143"/>
      <c r="C667" s="143"/>
      <c r="D667" s="143"/>
      <c r="E667" s="143"/>
      <c r="F667" s="143"/>
      <c r="G667" s="143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</row>
    <row r="668" spans="1:19" ht="19.5">
      <c r="A668" s="136"/>
      <c r="B668" s="143"/>
      <c r="C668" s="143"/>
      <c r="D668" s="143"/>
      <c r="E668" s="143"/>
      <c r="F668" s="143"/>
      <c r="G668" s="143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</row>
    <row r="669" spans="1:19" ht="19.5">
      <c r="A669" s="136"/>
      <c r="B669" s="143"/>
      <c r="C669" s="143"/>
      <c r="D669" s="143"/>
      <c r="E669" s="143"/>
      <c r="F669" s="143"/>
      <c r="G669" s="143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</row>
    <row r="670" spans="1:19" ht="19.5">
      <c r="A670" s="136"/>
      <c r="B670" s="143"/>
      <c r="C670" s="143"/>
      <c r="D670" s="143"/>
      <c r="E670" s="143"/>
      <c r="F670" s="143"/>
      <c r="G670" s="143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</row>
    <row r="671" spans="1:19" ht="19.5">
      <c r="A671" s="136"/>
      <c r="B671" s="143"/>
      <c r="C671" s="143"/>
      <c r="D671" s="143"/>
      <c r="E671" s="143"/>
      <c r="F671" s="143"/>
      <c r="G671" s="143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</row>
    <row r="672" spans="1:19" ht="19.5">
      <c r="A672" s="136"/>
      <c r="B672" s="143"/>
      <c r="C672" s="143"/>
      <c r="D672" s="143"/>
      <c r="E672" s="143"/>
      <c r="F672" s="143"/>
      <c r="G672" s="143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</row>
    <row r="673" spans="1:19" ht="19.5">
      <c r="A673" s="136"/>
      <c r="B673" s="143"/>
      <c r="C673" s="143"/>
      <c r="D673" s="143"/>
      <c r="E673" s="143"/>
      <c r="F673" s="143"/>
      <c r="G673" s="143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</row>
    <row r="674" spans="1:19" ht="19.5">
      <c r="A674" s="136"/>
      <c r="B674" s="143"/>
      <c r="C674" s="143"/>
      <c r="D674" s="143"/>
      <c r="E674" s="143"/>
      <c r="F674" s="143"/>
      <c r="G674" s="143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</row>
    <row r="675" spans="1:19" ht="19.5">
      <c r="A675" s="136"/>
      <c r="B675" s="143"/>
      <c r="C675" s="143"/>
      <c r="D675" s="143"/>
      <c r="E675" s="143"/>
      <c r="F675" s="143"/>
      <c r="G675" s="143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</row>
    <row r="676" spans="1:19" ht="19.5">
      <c r="A676" s="136"/>
      <c r="B676" s="143"/>
      <c r="C676" s="143"/>
      <c r="D676" s="143"/>
      <c r="E676" s="143"/>
      <c r="F676" s="143"/>
      <c r="G676" s="143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</row>
    <row r="677" spans="1:19" ht="19.5">
      <c r="A677" s="136"/>
      <c r="B677" s="143"/>
      <c r="C677" s="143"/>
      <c r="D677" s="143"/>
      <c r="E677" s="143"/>
      <c r="F677" s="143"/>
      <c r="G677" s="143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</row>
    <row r="678" spans="1:19" ht="19.5">
      <c r="A678" s="136"/>
      <c r="B678" s="143"/>
      <c r="C678" s="143"/>
      <c r="D678" s="143"/>
      <c r="E678" s="143"/>
      <c r="F678" s="143"/>
      <c r="G678" s="143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</row>
    <row r="679" spans="1:19" ht="19.5">
      <c r="A679" s="136"/>
      <c r="B679" s="143"/>
      <c r="C679" s="143"/>
      <c r="D679" s="143"/>
      <c r="E679" s="143"/>
      <c r="F679" s="143"/>
      <c r="G679" s="143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</row>
    <row r="680" spans="1:19" ht="19.5">
      <c r="A680" s="136"/>
      <c r="B680" s="143"/>
      <c r="C680" s="143"/>
      <c r="D680" s="143"/>
      <c r="E680" s="143"/>
      <c r="F680" s="143"/>
      <c r="G680" s="143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</row>
    <row r="681" spans="1:19" ht="19.5">
      <c r="A681" s="136"/>
      <c r="B681" s="143"/>
      <c r="C681" s="143"/>
      <c r="D681" s="143"/>
      <c r="E681" s="143"/>
      <c r="F681" s="143"/>
      <c r="G681" s="143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</row>
    <row r="682" spans="1:19" ht="19.5">
      <c r="A682" s="136"/>
      <c r="B682" s="143"/>
      <c r="C682" s="143"/>
      <c r="D682" s="143"/>
      <c r="E682" s="143"/>
      <c r="F682" s="143"/>
      <c r="G682" s="143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</row>
    <row r="683" spans="1:19" ht="19.5">
      <c r="A683" s="136"/>
      <c r="B683" s="143"/>
      <c r="C683" s="143"/>
      <c r="D683" s="143"/>
      <c r="E683" s="143"/>
      <c r="F683" s="143"/>
      <c r="G683" s="143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</row>
    <row r="684" spans="1:19" ht="19.5">
      <c r="A684" s="136"/>
      <c r="B684" s="143"/>
      <c r="C684" s="143"/>
      <c r="D684" s="143"/>
      <c r="E684" s="143"/>
      <c r="F684" s="143"/>
      <c r="G684" s="143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</row>
    <row r="685" spans="1:19" ht="19.5">
      <c r="A685" s="136"/>
      <c r="B685" s="143"/>
      <c r="C685" s="143"/>
      <c r="D685" s="143"/>
      <c r="E685" s="143"/>
      <c r="F685" s="143"/>
      <c r="G685" s="143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</row>
    <row r="686" spans="1:19" ht="19.5">
      <c r="A686" s="136"/>
      <c r="B686" s="143"/>
      <c r="C686" s="143"/>
      <c r="D686" s="143"/>
      <c r="E686" s="143"/>
      <c r="F686" s="143"/>
      <c r="G686" s="143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</row>
    <row r="687" spans="1:19" ht="19.5">
      <c r="A687" s="136"/>
      <c r="B687" s="143"/>
      <c r="C687" s="143"/>
      <c r="D687" s="143"/>
      <c r="E687" s="143"/>
      <c r="F687" s="143"/>
      <c r="G687" s="143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</row>
    <row r="688" spans="1:19" ht="19.5">
      <c r="A688" s="136"/>
      <c r="B688" s="143"/>
      <c r="C688" s="143"/>
      <c r="D688" s="143"/>
      <c r="E688" s="143"/>
      <c r="F688" s="143"/>
      <c r="G688" s="143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</row>
    <row r="689" spans="1:19" ht="19.5">
      <c r="A689" s="136"/>
      <c r="B689" s="143"/>
      <c r="C689" s="143"/>
      <c r="D689" s="143"/>
      <c r="E689" s="143"/>
      <c r="F689" s="143"/>
      <c r="G689" s="143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</row>
    <row r="690" spans="1:19" ht="19.5">
      <c r="A690" s="136"/>
      <c r="B690" s="143"/>
      <c r="C690" s="143"/>
      <c r="D690" s="143"/>
      <c r="E690" s="143"/>
      <c r="F690" s="143"/>
      <c r="G690" s="143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</row>
    <row r="691" spans="1:19" ht="19.5">
      <c r="A691" s="136"/>
      <c r="B691" s="143"/>
      <c r="C691" s="143"/>
      <c r="D691" s="143"/>
      <c r="E691" s="143"/>
      <c r="F691" s="143"/>
      <c r="G691" s="143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</row>
    <row r="692" spans="1:19" ht="19.5">
      <c r="A692" s="136"/>
      <c r="B692" s="143"/>
      <c r="C692" s="143"/>
      <c r="D692" s="143"/>
      <c r="E692" s="143"/>
      <c r="F692" s="143"/>
      <c r="G692" s="143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</row>
    <row r="693" spans="1:19" ht="19.5">
      <c r="A693" s="136"/>
      <c r="B693" s="143"/>
      <c r="C693" s="143"/>
      <c r="D693" s="143"/>
      <c r="E693" s="143"/>
      <c r="F693" s="143"/>
      <c r="G693" s="143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</row>
    <row r="694" spans="1:19" ht="19.5">
      <c r="A694" s="136"/>
      <c r="B694" s="143"/>
      <c r="C694" s="143"/>
      <c r="D694" s="143"/>
      <c r="E694" s="143"/>
      <c r="F694" s="143"/>
      <c r="G694" s="143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</row>
    <row r="695" spans="1:19" ht="19.5">
      <c r="A695" s="136"/>
      <c r="B695" s="143"/>
      <c r="C695" s="143"/>
      <c r="D695" s="143"/>
      <c r="E695" s="143"/>
      <c r="F695" s="143"/>
      <c r="G695" s="143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</row>
    <row r="696" spans="1:19" ht="19.5">
      <c r="A696" s="136"/>
      <c r="B696" s="143"/>
      <c r="C696" s="143"/>
      <c r="D696" s="143"/>
      <c r="E696" s="143"/>
      <c r="F696" s="143"/>
      <c r="G696" s="143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</row>
    <row r="697" spans="1:19" ht="19.5">
      <c r="A697" s="136"/>
      <c r="B697" s="143"/>
      <c r="C697" s="143"/>
      <c r="D697" s="143"/>
      <c r="E697" s="143"/>
      <c r="F697" s="143"/>
      <c r="G697" s="143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</row>
    <row r="698" spans="1:19" ht="19.5">
      <c r="A698" s="136"/>
      <c r="B698" s="143"/>
      <c r="C698" s="143"/>
      <c r="D698" s="143"/>
      <c r="E698" s="143"/>
      <c r="F698" s="143"/>
      <c r="G698" s="143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</row>
    <row r="699" spans="1:19" ht="19.5">
      <c r="A699" s="136"/>
      <c r="B699" s="143"/>
      <c r="C699" s="143"/>
      <c r="D699" s="143"/>
      <c r="E699" s="143"/>
      <c r="F699" s="143"/>
      <c r="G699" s="143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</row>
    <row r="700" spans="1:19" ht="19.5">
      <c r="A700" s="136"/>
      <c r="B700" s="143"/>
      <c r="C700" s="143"/>
      <c r="D700" s="143"/>
      <c r="E700" s="143"/>
      <c r="F700" s="143"/>
      <c r="G700" s="143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</row>
    <row r="701" spans="1:19" ht="19.5">
      <c r="A701" s="136"/>
      <c r="B701" s="143"/>
      <c r="C701" s="143"/>
      <c r="D701" s="143"/>
      <c r="E701" s="143"/>
      <c r="F701" s="143"/>
      <c r="G701" s="143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</row>
    <row r="702" spans="1:19" ht="19.5">
      <c r="A702" s="136"/>
      <c r="B702" s="143"/>
      <c r="C702" s="143"/>
      <c r="D702" s="143"/>
      <c r="E702" s="143"/>
      <c r="F702" s="143"/>
      <c r="G702" s="143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</row>
    <row r="703" spans="1:19" ht="19.5">
      <c r="A703" s="136"/>
      <c r="B703" s="143"/>
      <c r="C703" s="143"/>
      <c r="D703" s="143"/>
      <c r="E703" s="143"/>
      <c r="F703" s="143"/>
      <c r="G703" s="143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</row>
    <row r="704" spans="1:19" ht="19.5">
      <c r="A704" s="136"/>
      <c r="B704" s="143"/>
      <c r="C704" s="143"/>
      <c r="D704" s="143"/>
      <c r="E704" s="143"/>
      <c r="F704" s="143"/>
      <c r="G704" s="143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</row>
    <row r="705" spans="1:19" ht="19.5">
      <c r="A705" s="136"/>
      <c r="B705" s="143"/>
      <c r="C705" s="143"/>
      <c r="D705" s="143"/>
      <c r="E705" s="143"/>
      <c r="F705" s="143"/>
      <c r="G705" s="143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</row>
    <row r="706" spans="1:19" ht="19.5">
      <c r="A706" s="136"/>
      <c r="B706" s="143"/>
      <c r="C706" s="143"/>
      <c r="D706" s="143"/>
      <c r="E706" s="143"/>
      <c r="F706" s="143"/>
      <c r="G706" s="143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</row>
    <row r="707" spans="1:19" ht="19.5">
      <c r="A707" s="136"/>
      <c r="B707" s="143"/>
      <c r="C707" s="143"/>
      <c r="D707" s="143"/>
      <c r="E707" s="143"/>
      <c r="F707" s="143"/>
      <c r="G707" s="143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</row>
    <row r="708" spans="1:19" ht="19.5">
      <c r="A708" s="136"/>
      <c r="B708" s="143"/>
      <c r="C708" s="143"/>
      <c r="D708" s="143"/>
      <c r="E708" s="143"/>
      <c r="F708" s="143"/>
      <c r="G708" s="143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</row>
    <row r="709" spans="1:19" ht="19.5">
      <c r="A709" s="136"/>
      <c r="B709" s="143"/>
      <c r="C709" s="143"/>
      <c r="D709" s="143"/>
      <c r="E709" s="143"/>
      <c r="F709" s="143"/>
      <c r="G709" s="143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</row>
    <row r="710" spans="1:19" ht="19.5">
      <c r="A710" s="136"/>
      <c r="B710" s="143"/>
      <c r="C710" s="143"/>
      <c r="D710" s="143"/>
      <c r="E710" s="143"/>
      <c r="F710" s="143"/>
      <c r="G710" s="143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</row>
    <row r="711" spans="1:19" ht="19.5">
      <c r="A711" s="136"/>
      <c r="B711" s="143"/>
      <c r="C711" s="143"/>
      <c r="D711" s="143"/>
      <c r="E711" s="143"/>
      <c r="F711" s="143"/>
      <c r="G711" s="143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</row>
    <row r="712" spans="1:19" ht="19.5">
      <c r="A712" s="136"/>
      <c r="B712" s="143"/>
      <c r="C712" s="143"/>
      <c r="D712" s="143"/>
      <c r="E712" s="143"/>
      <c r="F712" s="143"/>
      <c r="G712" s="143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</row>
    <row r="713" spans="1:19" ht="19.5">
      <c r="A713" s="136"/>
      <c r="B713" s="143"/>
      <c r="C713" s="143"/>
      <c r="D713" s="143"/>
      <c r="E713" s="143"/>
      <c r="F713" s="143"/>
      <c r="G713" s="143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</row>
    <row r="714" spans="1:19" ht="19.5">
      <c r="A714" s="136"/>
      <c r="B714" s="143"/>
      <c r="C714" s="143"/>
      <c r="D714" s="143"/>
      <c r="E714" s="143"/>
      <c r="F714" s="143"/>
      <c r="G714" s="143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</row>
    <row r="715" spans="1:19" ht="19.5">
      <c r="A715" s="136"/>
      <c r="B715" s="143"/>
      <c r="C715" s="143"/>
      <c r="D715" s="143"/>
      <c r="E715" s="143"/>
      <c r="F715" s="143"/>
      <c r="G715" s="143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</row>
    <row r="716" spans="1:19" ht="19.5">
      <c r="A716" s="136"/>
      <c r="B716" s="143"/>
      <c r="C716" s="143"/>
      <c r="D716" s="143"/>
      <c r="E716" s="143"/>
      <c r="F716" s="143"/>
      <c r="G716" s="143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</row>
    <row r="717" spans="1:19" ht="19.5">
      <c r="A717" s="136"/>
      <c r="B717" s="143"/>
      <c r="C717" s="143"/>
      <c r="D717" s="143"/>
      <c r="E717" s="143"/>
      <c r="F717" s="143"/>
      <c r="G717" s="143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</row>
    <row r="718" spans="1:19" ht="19.5">
      <c r="A718" s="136"/>
      <c r="B718" s="143"/>
      <c r="C718" s="143"/>
      <c r="D718" s="143"/>
      <c r="E718" s="143"/>
      <c r="F718" s="143"/>
      <c r="G718" s="143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</row>
    <row r="719" spans="1:19" ht="19.5">
      <c r="A719" s="136"/>
      <c r="B719" s="143"/>
      <c r="C719" s="143"/>
      <c r="D719" s="143"/>
      <c r="E719" s="143"/>
      <c r="F719" s="143"/>
      <c r="G719" s="143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</row>
    <row r="720" spans="1:19" ht="19.5">
      <c r="A720" s="136"/>
      <c r="B720" s="143"/>
      <c r="C720" s="143"/>
      <c r="D720" s="143"/>
      <c r="E720" s="143"/>
      <c r="F720" s="143"/>
      <c r="G720" s="143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</row>
    <row r="721" spans="1:19" ht="19.5">
      <c r="A721" s="136"/>
      <c r="B721" s="143"/>
      <c r="C721" s="143"/>
      <c r="D721" s="143"/>
      <c r="E721" s="143"/>
      <c r="F721" s="143"/>
      <c r="G721" s="143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</row>
    <row r="722" spans="1:19" ht="19.5">
      <c r="A722" s="136"/>
      <c r="B722" s="143"/>
      <c r="C722" s="143"/>
      <c r="D722" s="143"/>
      <c r="E722" s="143"/>
      <c r="F722" s="143"/>
      <c r="G722" s="143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</row>
    <row r="723" spans="1:19" ht="19.5">
      <c r="A723" s="136"/>
      <c r="B723" s="143"/>
      <c r="C723" s="143"/>
      <c r="D723" s="143"/>
      <c r="E723" s="143"/>
      <c r="F723" s="143"/>
      <c r="G723" s="143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</row>
    <row r="724" spans="1:19" ht="19.5">
      <c r="A724" s="136"/>
      <c r="B724" s="143"/>
      <c r="C724" s="143"/>
      <c r="D724" s="143"/>
      <c r="E724" s="143"/>
      <c r="F724" s="143"/>
      <c r="G724" s="143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</row>
    <row r="725" spans="1:19" ht="19.5">
      <c r="A725" s="136"/>
      <c r="B725" s="143"/>
      <c r="C725" s="143"/>
      <c r="D725" s="143"/>
      <c r="E725" s="143"/>
      <c r="F725" s="143"/>
      <c r="G725" s="143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</row>
    <row r="726" spans="1:19" ht="19.5">
      <c r="A726" s="136"/>
      <c r="B726" s="143"/>
      <c r="C726" s="143"/>
      <c r="D726" s="143"/>
      <c r="E726" s="143"/>
      <c r="F726" s="143"/>
      <c r="G726" s="143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</row>
    <row r="727" spans="1:19" ht="19.5">
      <c r="A727" s="136"/>
      <c r="B727" s="143"/>
      <c r="C727" s="143"/>
      <c r="D727" s="143"/>
      <c r="E727" s="143"/>
      <c r="F727" s="143"/>
      <c r="G727" s="143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</row>
    <row r="728" spans="1:19" ht="19.5">
      <c r="A728" s="136"/>
      <c r="B728" s="143"/>
      <c r="C728" s="143"/>
      <c r="D728" s="143"/>
      <c r="E728" s="143"/>
      <c r="F728" s="143"/>
      <c r="G728" s="143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</row>
    <row r="729" spans="1:19" ht="19.5">
      <c r="A729" s="136"/>
      <c r="B729" s="143"/>
      <c r="C729" s="143"/>
      <c r="D729" s="143"/>
      <c r="E729" s="143"/>
      <c r="F729" s="143"/>
      <c r="G729" s="143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</row>
    <row r="730" spans="1:19" ht="19.5">
      <c r="A730" s="136"/>
      <c r="B730" s="143"/>
      <c r="C730" s="143"/>
      <c r="D730" s="143"/>
      <c r="E730" s="143"/>
      <c r="F730" s="143"/>
      <c r="G730" s="143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</row>
    <row r="731" spans="1:19" ht="19.5">
      <c r="A731" s="136"/>
      <c r="B731" s="143"/>
      <c r="C731" s="143"/>
      <c r="D731" s="143"/>
      <c r="E731" s="143"/>
      <c r="F731" s="143"/>
      <c r="G731" s="143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</row>
    <row r="732" spans="1:19" ht="19.5">
      <c r="A732" s="136"/>
      <c r="B732" s="143"/>
      <c r="C732" s="143"/>
      <c r="D732" s="143"/>
      <c r="E732" s="143"/>
      <c r="F732" s="143"/>
      <c r="G732" s="143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</row>
    <row r="733" spans="1:19" ht="19.5">
      <c r="A733" s="136"/>
      <c r="B733" s="143"/>
      <c r="C733" s="143"/>
      <c r="D733" s="143"/>
      <c r="E733" s="143"/>
      <c r="F733" s="143"/>
      <c r="G733" s="143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</row>
    <row r="734" spans="1:19" ht="19.5">
      <c r="A734" s="136"/>
      <c r="B734" s="143"/>
      <c r="C734" s="143"/>
      <c r="D734" s="143"/>
      <c r="E734" s="143"/>
      <c r="F734" s="143"/>
      <c r="G734" s="143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</row>
    <row r="735" spans="1:19" ht="19.5">
      <c r="A735" s="136"/>
      <c r="B735" s="143"/>
      <c r="C735" s="143"/>
      <c r="D735" s="143"/>
      <c r="E735" s="143"/>
      <c r="F735" s="143"/>
      <c r="G735" s="143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</row>
    <row r="736" spans="1:19" ht="19.5">
      <c r="A736" s="136"/>
      <c r="B736" s="143"/>
      <c r="C736" s="143"/>
      <c r="D736" s="143"/>
      <c r="E736" s="143"/>
      <c r="F736" s="143"/>
      <c r="G736" s="143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</row>
    <row r="737" spans="1:19" ht="19.5">
      <c r="A737" s="136"/>
      <c r="B737" s="143"/>
      <c r="C737" s="143"/>
      <c r="D737" s="143"/>
      <c r="E737" s="143"/>
      <c r="F737" s="143"/>
      <c r="G737" s="143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</row>
    <row r="738" spans="1:19" ht="19.5">
      <c r="A738" s="136"/>
      <c r="B738" s="143"/>
      <c r="C738" s="143"/>
      <c r="D738" s="143"/>
      <c r="E738" s="143"/>
      <c r="F738" s="143"/>
      <c r="G738" s="143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</row>
    <row r="739" spans="1:19" ht="19.5">
      <c r="A739" s="136"/>
      <c r="B739" s="143"/>
      <c r="C739" s="143"/>
      <c r="D739" s="143"/>
      <c r="E739" s="143"/>
      <c r="F739" s="143"/>
      <c r="G739" s="143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</row>
    <row r="740" spans="1:19" ht="19.5">
      <c r="A740" s="136"/>
      <c r="B740" s="143"/>
      <c r="C740" s="143"/>
      <c r="D740" s="143"/>
      <c r="E740" s="143"/>
      <c r="F740" s="143"/>
      <c r="G740" s="143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</row>
    <row r="741" spans="1:19" ht="19.5">
      <c r="A741" s="136"/>
      <c r="B741" s="143"/>
      <c r="C741" s="143"/>
      <c r="D741" s="143"/>
      <c r="E741" s="143"/>
      <c r="F741" s="143"/>
      <c r="G741" s="143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</row>
    <row r="742" spans="1:19" ht="19.5">
      <c r="A742" s="136"/>
      <c r="B742" s="143"/>
      <c r="C742" s="143"/>
      <c r="D742" s="143"/>
      <c r="E742" s="143"/>
      <c r="F742" s="143"/>
      <c r="G742" s="143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</row>
    <row r="743" spans="1:19" ht="19.5">
      <c r="A743" s="136"/>
      <c r="B743" s="143"/>
      <c r="C743" s="143"/>
      <c r="D743" s="143"/>
      <c r="E743" s="143"/>
      <c r="F743" s="143"/>
      <c r="G743" s="143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</row>
    <row r="744" spans="1:19" ht="19.5">
      <c r="A744" s="136"/>
      <c r="B744" s="143"/>
      <c r="C744" s="143"/>
      <c r="D744" s="143"/>
      <c r="E744" s="143"/>
      <c r="F744" s="143"/>
      <c r="G744" s="143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</row>
    <row r="745" spans="1:19" ht="19.5">
      <c r="A745" s="136"/>
      <c r="B745" s="143"/>
      <c r="C745" s="143"/>
      <c r="D745" s="143"/>
      <c r="E745" s="143"/>
      <c r="F745" s="143"/>
      <c r="G745" s="143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</row>
    <row r="746" spans="1:19" ht="19.5">
      <c r="A746" s="136"/>
      <c r="B746" s="143"/>
      <c r="C746" s="143"/>
      <c r="D746" s="143"/>
      <c r="E746" s="143"/>
      <c r="F746" s="143"/>
      <c r="G746" s="143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</row>
    <row r="747" spans="1:19" ht="19.5">
      <c r="A747" s="136"/>
      <c r="B747" s="143"/>
      <c r="C747" s="143"/>
      <c r="D747" s="143"/>
      <c r="E747" s="143"/>
      <c r="F747" s="143"/>
      <c r="G747" s="143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</row>
    <row r="748" spans="1:19" ht="19.5">
      <c r="A748" s="136"/>
      <c r="B748" s="143"/>
      <c r="C748" s="143"/>
      <c r="D748" s="143"/>
      <c r="E748" s="143"/>
      <c r="F748" s="143"/>
      <c r="G748" s="143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</row>
    <row r="749" spans="1:19" ht="19.5">
      <c r="A749" s="136"/>
      <c r="B749" s="143"/>
      <c r="C749" s="143"/>
      <c r="D749" s="143"/>
      <c r="E749" s="143"/>
      <c r="F749" s="143"/>
      <c r="G749" s="143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</row>
    <row r="750" spans="1:19" ht="19.5">
      <c r="A750" s="136"/>
      <c r="B750" s="143"/>
      <c r="C750" s="143"/>
      <c r="D750" s="143"/>
      <c r="E750" s="143"/>
      <c r="F750" s="143"/>
      <c r="G750" s="143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</row>
    <row r="751" spans="1:19" ht="19.5">
      <c r="A751" s="136"/>
      <c r="B751" s="143"/>
      <c r="C751" s="143"/>
      <c r="D751" s="143"/>
      <c r="E751" s="143"/>
      <c r="F751" s="143"/>
      <c r="G751" s="143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</row>
    <row r="752" spans="1:19" ht="19.5">
      <c r="A752" s="136"/>
      <c r="B752" s="143"/>
      <c r="C752" s="143"/>
      <c r="D752" s="143"/>
      <c r="E752" s="143"/>
      <c r="F752" s="143"/>
      <c r="G752" s="143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</row>
    <row r="753" spans="1:19" ht="19.5">
      <c r="A753" s="136"/>
      <c r="B753" s="143"/>
      <c r="C753" s="143"/>
      <c r="D753" s="143"/>
      <c r="E753" s="143"/>
      <c r="F753" s="143"/>
      <c r="G753" s="143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</row>
    <row r="754" spans="1:19" ht="19.5">
      <c r="A754" s="136"/>
      <c r="B754" s="143"/>
      <c r="C754" s="143"/>
      <c r="D754" s="143"/>
      <c r="E754" s="143"/>
      <c r="F754" s="143"/>
      <c r="G754" s="143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</row>
    <row r="755" spans="1:19" ht="19.5">
      <c r="A755" s="136"/>
      <c r="B755" s="143"/>
      <c r="C755" s="143"/>
      <c r="D755" s="143"/>
      <c r="E755" s="143"/>
      <c r="F755" s="143"/>
      <c r="G755" s="143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</row>
    <row r="756" spans="1:19" ht="19.5">
      <c r="A756" s="136"/>
      <c r="B756" s="143"/>
      <c r="C756" s="143"/>
      <c r="D756" s="143"/>
      <c r="E756" s="143"/>
      <c r="F756" s="143"/>
      <c r="G756" s="143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</row>
    <row r="757" spans="1:19" ht="19.5">
      <c r="A757" s="136"/>
      <c r="B757" s="143"/>
      <c r="C757" s="143"/>
      <c r="D757" s="143"/>
      <c r="E757" s="143"/>
      <c r="F757" s="143"/>
      <c r="G757" s="143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</row>
    <row r="758" spans="1:19" ht="19.5">
      <c r="A758" s="136"/>
      <c r="B758" s="143"/>
      <c r="C758" s="143"/>
      <c r="D758" s="143"/>
      <c r="E758" s="143"/>
      <c r="F758" s="143"/>
      <c r="G758" s="143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</row>
    <row r="759" spans="1:19" ht="19.5">
      <c r="A759" s="136"/>
      <c r="B759" s="143"/>
      <c r="C759" s="143"/>
      <c r="D759" s="143"/>
      <c r="E759" s="143"/>
      <c r="F759" s="143"/>
      <c r="G759" s="143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</row>
    <row r="760" spans="1:19" ht="19.5">
      <c r="A760" s="136"/>
      <c r="B760" s="143"/>
      <c r="C760" s="143"/>
      <c r="D760" s="143"/>
      <c r="E760" s="143"/>
      <c r="F760" s="143"/>
      <c r="G760" s="143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</row>
    <row r="761" spans="1:19" ht="19.5">
      <c r="A761" s="136"/>
      <c r="B761" s="143"/>
      <c r="C761" s="143"/>
      <c r="D761" s="143"/>
      <c r="E761" s="143"/>
      <c r="F761" s="143"/>
      <c r="G761" s="143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</row>
    <row r="762" spans="1:19" ht="19.5">
      <c r="A762" s="136"/>
      <c r="B762" s="143"/>
      <c r="C762" s="143"/>
      <c r="D762" s="143"/>
      <c r="E762" s="143"/>
      <c r="F762" s="143"/>
      <c r="G762" s="143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</row>
    <row r="763" spans="1:19" ht="19.5">
      <c r="A763" s="136"/>
      <c r="B763" s="143"/>
      <c r="C763" s="143"/>
      <c r="D763" s="143"/>
      <c r="E763" s="143"/>
      <c r="F763" s="143"/>
      <c r="G763" s="143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</row>
    <row r="764" spans="1:19" ht="19.5">
      <c r="A764" s="136"/>
      <c r="B764" s="143"/>
      <c r="C764" s="143"/>
      <c r="D764" s="143"/>
      <c r="E764" s="143"/>
      <c r="F764" s="143"/>
      <c r="G764" s="143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</row>
    <row r="765" spans="1:19" ht="19.5">
      <c r="A765" s="136"/>
      <c r="B765" s="143"/>
      <c r="C765" s="143"/>
      <c r="D765" s="143"/>
      <c r="E765" s="143"/>
      <c r="F765" s="143"/>
      <c r="G765" s="143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</row>
    <row r="766" spans="1:19" ht="19.5">
      <c r="A766" s="136"/>
      <c r="B766" s="143"/>
      <c r="C766" s="143"/>
      <c r="D766" s="143"/>
      <c r="E766" s="143"/>
      <c r="F766" s="143"/>
      <c r="G766" s="143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</row>
    <row r="767" spans="1:19" ht="19.5">
      <c r="A767" s="136"/>
      <c r="B767" s="143"/>
      <c r="C767" s="143"/>
      <c r="D767" s="143"/>
      <c r="E767" s="143"/>
      <c r="F767" s="143"/>
      <c r="G767" s="143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</row>
    <row r="768" spans="1:19" ht="19.5">
      <c r="A768" s="136"/>
      <c r="B768" s="143"/>
      <c r="C768" s="143"/>
      <c r="D768" s="143"/>
      <c r="E768" s="143"/>
      <c r="F768" s="143"/>
      <c r="G768" s="143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</row>
    <row r="769" spans="1:19" ht="19.5">
      <c r="A769" s="136"/>
      <c r="B769" s="143"/>
      <c r="C769" s="143"/>
      <c r="D769" s="143"/>
      <c r="E769" s="143"/>
      <c r="F769" s="143"/>
      <c r="G769" s="143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</row>
    <row r="770" spans="1:19" ht="19.5">
      <c r="A770" s="136"/>
      <c r="B770" s="143"/>
      <c r="C770" s="143"/>
      <c r="D770" s="143"/>
      <c r="E770" s="143"/>
      <c r="F770" s="143"/>
      <c r="G770" s="143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</row>
    <row r="771" spans="1:19" ht="19.5">
      <c r="A771" s="136"/>
      <c r="B771" s="143"/>
      <c r="C771" s="143"/>
      <c r="D771" s="143"/>
      <c r="E771" s="143"/>
      <c r="F771" s="143"/>
      <c r="G771" s="143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</row>
    <row r="772" spans="1:19" ht="19.5">
      <c r="A772" s="136"/>
      <c r="B772" s="143"/>
      <c r="C772" s="143"/>
      <c r="D772" s="143"/>
      <c r="E772" s="143"/>
      <c r="F772" s="143"/>
      <c r="G772" s="143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</row>
    <row r="773" spans="1:19" ht="19.5">
      <c r="A773" s="136"/>
      <c r="B773" s="143"/>
      <c r="C773" s="143"/>
      <c r="D773" s="143"/>
      <c r="E773" s="143"/>
      <c r="F773" s="143"/>
      <c r="G773" s="143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</row>
    <row r="774" spans="1:19" ht="19.5">
      <c r="A774" s="136"/>
      <c r="B774" s="143"/>
      <c r="C774" s="143"/>
      <c r="D774" s="143"/>
      <c r="E774" s="143"/>
      <c r="F774" s="143"/>
      <c r="G774" s="143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</row>
    <row r="775" spans="1:19" ht="19.5">
      <c r="A775" s="136"/>
      <c r="B775" s="143"/>
      <c r="C775" s="143"/>
      <c r="D775" s="143"/>
      <c r="E775" s="143"/>
      <c r="F775" s="143"/>
      <c r="G775" s="143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</row>
    <row r="776" spans="1:19" ht="19.5">
      <c r="A776" s="136"/>
      <c r="B776" s="143"/>
      <c r="C776" s="143"/>
      <c r="D776" s="143"/>
      <c r="E776" s="143"/>
      <c r="F776" s="143"/>
      <c r="G776" s="143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</row>
    <row r="777" spans="1:19" ht="19.5">
      <c r="A777" s="136"/>
      <c r="B777" s="143"/>
      <c r="C777" s="143"/>
      <c r="D777" s="143"/>
      <c r="E777" s="143"/>
      <c r="F777" s="143"/>
      <c r="G777" s="143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</row>
    <row r="778" spans="1:19" ht="19.5">
      <c r="A778" s="136"/>
      <c r="B778" s="143"/>
      <c r="C778" s="143"/>
      <c r="D778" s="143"/>
      <c r="E778" s="143"/>
      <c r="F778" s="143"/>
      <c r="G778" s="143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</row>
    <row r="779" spans="1:19" ht="19.5">
      <c r="A779" s="136"/>
      <c r="B779" s="143"/>
      <c r="C779" s="143"/>
      <c r="D779" s="143"/>
      <c r="E779" s="143"/>
      <c r="F779" s="143"/>
      <c r="G779" s="143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</row>
    <row r="780" spans="1:19" ht="19.5">
      <c r="A780" s="136"/>
      <c r="B780" s="143"/>
      <c r="C780" s="143"/>
      <c r="D780" s="143"/>
      <c r="E780" s="143"/>
      <c r="F780" s="143"/>
      <c r="G780" s="143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</row>
    <row r="781" spans="1:19" ht="19.5">
      <c r="A781" s="136"/>
      <c r="B781" s="143"/>
      <c r="C781" s="143"/>
      <c r="D781" s="143"/>
      <c r="E781" s="143"/>
      <c r="F781" s="143"/>
      <c r="G781" s="143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</row>
    <row r="782" spans="1:19" ht="19.5">
      <c r="A782" s="136"/>
      <c r="B782" s="143"/>
      <c r="C782" s="143"/>
      <c r="D782" s="143"/>
      <c r="E782" s="143"/>
      <c r="F782" s="143"/>
      <c r="G782" s="143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</row>
    <row r="783" spans="1:19" ht="19.5">
      <c r="A783" s="136"/>
      <c r="B783" s="143"/>
      <c r="C783" s="143"/>
      <c r="D783" s="143"/>
      <c r="E783" s="143"/>
      <c r="F783" s="143"/>
      <c r="G783" s="143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</row>
    <row r="784" spans="1:19" ht="19.5">
      <c r="A784" s="136"/>
      <c r="B784" s="143"/>
      <c r="C784" s="143"/>
      <c r="D784" s="143"/>
      <c r="E784" s="143"/>
      <c r="F784" s="143"/>
      <c r="G784" s="143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</row>
    <row r="785" spans="1:19" ht="19.5">
      <c r="A785" s="136"/>
      <c r="B785" s="143"/>
      <c r="C785" s="143"/>
      <c r="D785" s="143"/>
      <c r="E785" s="143"/>
      <c r="F785" s="143"/>
      <c r="G785" s="143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</row>
    <row r="786" spans="1:19" ht="19.5">
      <c r="A786" s="136"/>
      <c r="B786" s="143"/>
      <c r="C786" s="143"/>
      <c r="D786" s="143"/>
      <c r="E786" s="143"/>
      <c r="F786" s="143"/>
      <c r="G786" s="143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</row>
    <row r="787" spans="1:19" ht="19.5">
      <c r="A787" s="136"/>
      <c r="B787" s="143"/>
      <c r="C787" s="143"/>
      <c r="D787" s="143"/>
      <c r="E787" s="143"/>
      <c r="F787" s="143"/>
      <c r="G787" s="143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</row>
    <row r="788" spans="1:19" ht="19.5">
      <c r="A788" s="136"/>
      <c r="B788" s="143"/>
      <c r="C788" s="143"/>
      <c r="D788" s="143"/>
      <c r="E788" s="143"/>
      <c r="F788" s="143"/>
      <c r="G788" s="143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</row>
    <row r="789" spans="1:19" ht="19.5">
      <c r="A789" s="136"/>
      <c r="B789" s="143"/>
      <c r="C789" s="143"/>
      <c r="D789" s="143"/>
      <c r="E789" s="143"/>
      <c r="F789" s="143"/>
      <c r="G789" s="143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</row>
    <row r="790" spans="1:19" ht="19.5">
      <c r="A790" s="136"/>
      <c r="B790" s="143"/>
      <c r="C790" s="143"/>
      <c r="D790" s="143"/>
      <c r="E790" s="143"/>
      <c r="F790" s="143"/>
      <c r="G790" s="143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</row>
    <row r="791" spans="1:19" ht="19.5">
      <c r="A791" s="136"/>
      <c r="B791" s="143"/>
      <c r="C791" s="143"/>
      <c r="D791" s="143"/>
      <c r="E791" s="143"/>
      <c r="F791" s="143"/>
      <c r="G791" s="143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</row>
    <row r="792" spans="1:19" ht="19.5">
      <c r="A792" s="136"/>
      <c r="B792" s="143"/>
      <c r="C792" s="143"/>
      <c r="D792" s="143"/>
      <c r="E792" s="143"/>
      <c r="F792" s="143"/>
      <c r="G792" s="143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</row>
    <row r="793" spans="1:19" ht="19.5">
      <c r="A793" s="136"/>
      <c r="B793" s="143"/>
      <c r="C793" s="143"/>
      <c r="D793" s="143"/>
      <c r="E793" s="143"/>
      <c r="F793" s="143"/>
      <c r="G793" s="143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</row>
    <row r="794" spans="1:19" ht="19.5">
      <c r="A794" s="136"/>
      <c r="B794" s="143"/>
      <c r="C794" s="143"/>
      <c r="D794" s="143"/>
      <c r="E794" s="143"/>
      <c r="F794" s="143"/>
      <c r="G794" s="143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</row>
    <row r="795" spans="1:19" ht="19.5">
      <c r="A795" s="136"/>
      <c r="B795" s="143"/>
      <c r="C795" s="143"/>
      <c r="D795" s="143"/>
      <c r="E795" s="143"/>
      <c r="F795" s="143"/>
      <c r="G795" s="143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</row>
    <row r="796" spans="1:19" ht="19.5">
      <c r="A796" s="136"/>
      <c r="B796" s="143"/>
      <c r="C796" s="143"/>
      <c r="D796" s="143"/>
      <c r="E796" s="143"/>
      <c r="F796" s="143"/>
      <c r="G796" s="143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</row>
    <row r="797" spans="1:19" ht="19.5">
      <c r="A797" s="136"/>
      <c r="B797" s="143"/>
      <c r="C797" s="143"/>
      <c r="D797" s="143"/>
      <c r="E797" s="143"/>
      <c r="F797" s="143"/>
      <c r="G797" s="143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</row>
    <row r="798" spans="1:19" ht="19.5">
      <c r="A798" s="136"/>
      <c r="B798" s="143"/>
      <c r="C798" s="143"/>
      <c r="D798" s="143"/>
      <c r="E798" s="143"/>
      <c r="F798" s="143"/>
      <c r="G798" s="143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</row>
    <row r="799" spans="1:19" ht="19.5">
      <c r="A799" s="136"/>
      <c r="B799" s="143"/>
      <c r="C799" s="143"/>
      <c r="D799" s="143"/>
      <c r="E799" s="143"/>
      <c r="F799" s="143"/>
      <c r="G799" s="143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</row>
    <row r="800" spans="1:19" ht="19.5">
      <c r="A800" s="136"/>
      <c r="B800" s="143"/>
      <c r="C800" s="143"/>
      <c r="D800" s="143"/>
      <c r="E800" s="143"/>
      <c r="F800" s="143"/>
      <c r="G800" s="143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</row>
    <row r="801" spans="1:19" ht="19.5">
      <c r="A801" s="136"/>
      <c r="B801" s="143"/>
      <c r="C801" s="143"/>
      <c r="D801" s="143"/>
      <c r="E801" s="143"/>
      <c r="F801" s="143"/>
      <c r="G801" s="143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</row>
    <row r="802" spans="1:19" ht="19.5">
      <c r="A802" s="136"/>
      <c r="B802" s="143"/>
      <c r="C802" s="143"/>
      <c r="D802" s="143"/>
      <c r="E802" s="143"/>
      <c r="F802" s="143"/>
      <c r="G802" s="143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</row>
    <row r="803" spans="1:19" ht="19.5">
      <c r="A803" s="136"/>
      <c r="B803" s="143"/>
      <c r="C803" s="143"/>
      <c r="D803" s="143"/>
      <c r="E803" s="143"/>
      <c r="F803" s="143"/>
      <c r="G803" s="143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</row>
    <row r="804" spans="1:19" ht="19.5">
      <c r="A804" s="136"/>
      <c r="B804" s="143"/>
      <c r="C804" s="143"/>
      <c r="D804" s="143"/>
      <c r="E804" s="143"/>
      <c r="F804" s="143"/>
      <c r="G804" s="143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</row>
    <row r="805" spans="1:19" ht="19.5">
      <c r="A805" s="136"/>
      <c r="B805" s="143"/>
      <c r="C805" s="143"/>
      <c r="D805" s="143"/>
      <c r="E805" s="143"/>
      <c r="F805" s="143"/>
      <c r="G805" s="143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</row>
    <row r="806" spans="1:19" ht="19.5">
      <c r="A806" s="136"/>
      <c r="B806" s="143"/>
      <c r="C806" s="143"/>
      <c r="D806" s="143"/>
      <c r="E806" s="143"/>
      <c r="F806" s="143"/>
      <c r="G806" s="143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</row>
    <row r="807" spans="1:19" ht="19.5">
      <c r="A807" s="136"/>
      <c r="B807" s="143"/>
      <c r="C807" s="143"/>
      <c r="D807" s="143"/>
      <c r="E807" s="143"/>
      <c r="F807" s="143"/>
      <c r="G807" s="143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</row>
    <row r="808" spans="1:19" ht="19.5">
      <c r="A808" s="136"/>
      <c r="B808" s="143"/>
      <c r="C808" s="143"/>
      <c r="D808" s="143"/>
      <c r="E808" s="143"/>
      <c r="F808" s="143"/>
      <c r="G808" s="143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</row>
    <row r="809" spans="1:19" ht="19.5">
      <c r="A809" s="136"/>
      <c r="B809" s="143"/>
      <c r="C809" s="143"/>
      <c r="D809" s="143"/>
      <c r="E809" s="143"/>
      <c r="F809" s="143"/>
      <c r="G809" s="143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</row>
    <row r="810" spans="1:19" ht="19.5">
      <c r="A810" s="136"/>
      <c r="B810" s="143"/>
      <c r="C810" s="143"/>
      <c r="D810" s="143"/>
      <c r="E810" s="143"/>
      <c r="F810" s="143"/>
      <c r="G810" s="143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</row>
    <row r="811" spans="1:19" ht="19.5">
      <c r="A811" s="136"/>
      <c r="B811" s="143"/>
      <c r="C811" s="143"/>
      <c r="D811" s="143"/>
      <c r="E811" s="143"/>
      <c r="F811" s="143"/>
      <c r="G811" s="143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</row>
    <row r="812" spans="1:19" ht="19.5">
      <c r="A812" s="136"/>
      <c r="B812" s="143"/>
      <c r="C812" s="143"/>
      <c r="D812" s="143"/>
      <c r="E812" s="143"/>
      <c r="F812" s="143"/>
      <c r="G812" s="143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</row>
    <row r="813" spans="1:19" ht="19.5">
      <c r="A813" s="136"/>
      <c r="B813" s="143"/>
      <c r="C813" s="143"/>
      <c r="D813" s="143"/>
      <c r="E813" s="143"/>
      <c r="F813" s="143"/>
      <c r="G813" s="143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</row>
    <row r="814" spans="1:19" ht="19.5">
      <c r="A814" s="136"/>
      <c r="B814" s="143"/>
      <c r="C814" s="143"/>
      <c r="D814" s="143"/>
      <c r="E814" s="143"/>
      <c r="F814" s="143"/>
      <c r="G814" s="143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</row>
    <row r="815" spans="1:19" ht="19.5">
      <c r="A815" s="136"/>
      <c r="B815" s="143"/>
      <c r="C815" s="143"/>
      <c r="D815" s="143"/>
      <c r="E815" s="143"/>
      <c r="F815" s="143"/>
      <c r="G815" s="143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</row>
    <row r="816" spans="1:19" ht="19.5">
      <c r="A816" s="136"/>
      <c r="B816" s="143"/>
      <c r="C816" s="143"/>
      <c r="D816" s="143"/>
      <c r="E816" s="143"/>
      <c r="F816" s="143"/>
      <c r="G816" s="143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</row>
    <row r="817" spans="1:19" ht="19.5">
      <c r="A817" s="136"/>
      <c r="B817" s="143"/>
      <c r="C817" s="143"/>
      <c r="D817" s="143"/>
      <c r="E817" s="143"/>
      <c r="F817" s="143"/>
      <c r="G817" s="143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</row>
    <row r="818" spans="1:19" ht="19.5">
      <c r="A818" s="136"/>
      <c r="B818" s="143"/>
      <c r="C818" s="143"/>
      <c r="D818" s="143"/>
      <c r="E818" s="143"/>
      <c r="F818" s="143"/>
      <c r="G818" s="143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</row>
    <row r="819" spans="1:19" ht="19.5">
      <c r="A819" s="136"/>
      <c r="B819" s="143"/>
      <c r="C819" s="143"/>
      <c r="D819" s="143"/>
      <c r="E819" s="143"/>
      <c r="F819" s="143"/>
      <c r="G819" s="143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</row>
    <row r="820" spans="1:19" ht="19.5">
      <c r="A820" s="136"/>
      <c r="B820" s="143"/>
      <c r="C820" s="143"/>
      <c r="D820" s="143"/>
      <c r="E820" s="143"/>
      <c r="F820" s="143"/>
      <c r="G820" s="143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</row>
    <row r="821" spans="1:19" ht="19.5">
      <c r="A821" s="136"/>
      <c r="B821" s="143"/>
      <c r="C821" s="143"/>
      <c r="D821" s="143"/>
      <c r="E821" s="143"/>
      <c r="F821" s="143"/>
      <c r="G821" s="143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</row>
    <row r="822" spans="1:19" ht="19.5">
      <c r="A822" s="136"/>
      <c r="B822" s="143"/>
      <c r="C822" s="143"/>
      <c r="D822" s="143"/>
      <c r="E822" s="143"/>
      <c r="F822" s="143"/>
      <c r="G822" s="143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</row>
    <row r="823" spans="1:19" ht="19.5">
      <c r="A823" s="136"/>
      <c r="B823" s="143"/>
      <c r="C823" s="143"/>
      <c r="D823" s="143"/>
      <c r="E823" s="143"/>
      <c r="F823" s="143"/>
      <c r="G823" s="143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</row>
    <row r="824" spans="1:19" ht="19.5">
      <c r="A824" s="136"/>
      <c r="B824" s="143"/>
      <c r="C824" s="143"/>
      <c r="D824" s="143"/>
      <c r="E824" s="143"/>
      <c r="F824" s="143"/>
      <c r="G824" s="143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</row>
    <row r="825" spans="1:19" ht="19.5">
      <c r="A825" s="136"/>
      <c r="B825" s="143"/>
      <c r="C825" s="143"/>
      <c r="D825" s="143"/>
      <c r="E825" s="143"/>
      <c r="F825" s="143"/>
      <c r="G825" s="143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</row>
    <row r="826" spans="1:19" ht="19.5">
      <c r="A826" s="136"/>
      <c r="B826" s="143"/>
      <c r="C826" s="143"/>
      <c r="D826" s="143"/>
      <c r="E826" s="143"/>
      <c r="F826" s="143"/>
      <c r="G826" s="143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</row>
    <row r="827" spans="1:19" ht="19.5">
      <c r="A827" s="136"/>
      <c r="B827" s="143"/>
      <c r="C827" s="143"/>
      <c r="D827" s="143"/>
      <c r="E827" s="143"/>
      <c r="F827" s="143"/>
      <c r="G827" s="143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</row>
    <row r="828" spans="1:19" ht="19.5">
      <c r="A828" s="136"/>
      <c r="B828" s="143"/>
      <c r="C828" s="143"/>
      <c r="D828" s="143"/>
      <c r="E828" s="143"/>
      <c r="F828" s="143"/>
      <c r="G828" s="143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</row>
    <row r="829" spans="1:19" ht="19.5">
      <c r="A829" s="136"/>
      <c r="B829" s="143"/>
      <c r="C829" s="143"/>
      <c r="D829" s="143"/>
      <c r="E829" s="143"/>
      <c r="F829" s="143"/>
      <c r="G829" s="143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</row>
    <row r="830" spans="1:19" ht="19.5">
      <c r="A830" s="136"/>
      <c r="B830" s="143"/>
      <c r="C830" s="143"/>
      <c r="D830" s="143"/>
      <c r="E830" s="143"/>
      <c r="F830" s="143"/>
      <c r="G830" s="143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</row>
    <row r="831" spans="1:19" ht="19.5">
      <c r="A831" s="136"/>
      <c r="B831" s="143"/>
      <c r="C831" s="143"/>
      <c r="D831" s="143"/>
      <c r="E831" s="143"/>
      <c r="F831" s="143"/>
      <c r="G831" s="143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</row>
    <row r="832" spans="1:19" ht="19.5">
      <c r="A832" s="136"/>
      <c r="B832" s="143"/>
      <c r="C832" s="143"/>
      <c r="D832" s="143"/>
      <c r="E832" s="143"/>
      <c r="F832" s="143"/>
      <c r="G832" s="143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</row>
    <row r="833" spans="1:19" ht="19.5">
      <c r="A833" s="136"/>
      <c r="B833" s="143"/>
      <c r="C833" s="143"/>
      <c r="D833" s="143"/>
      <c r="E833" s="143"/>
      <c r="F833" s="143"/>
      <c r="G833" s="143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</row>
    <row r="834" spans="1:19" ht="19.5">
      <c r="A834" s="136"/>
      <c r="B834" s="143"/>
      <c r="C834" s="143"/>
      <c r="D834" s="143"/>
      <c r="E834" s="143"/>
      <c r="F834" s="143"/>
      <c r="G834" s="143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</row>
    <row r="835" spans="1:19" ht="19.5">
      <c r="A835" s="136"/>
      <c r="B835" s="143"/>
      <c r="C835" s="143"/>
      <c r="D835" s="143"/>
      <c r="E835" s="143"/>
      <c r="F835" s="143"/>
      <c r="G835" s="143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</row>
    <row r="836" spans="1:19" ht="19.5">
      <c r="A836" s="136"/>
      <c r="B836" s="143"/>
      <c r="C836" s="143"/>
      <c r="D836" s="143"/>
      <c r="E836" s="143"/>
      <c r="F836" s="143"/>
      <c r="G836" s="143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</row>
    <row r="837" spans="1:19" ht="19.5">
      <c r="A837" s="136"/>
      <c r="B837" s="143"/>
      <c r="C837" s="143"/>
      <c r="D837" s="143"/>
      <c r="E837" s="143"/>
      <c r="F837" s="143"/>
      <c r="G837" s="143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</row>
    <row r="838" spans="1:19" ht="19.5">
      <c r="A838" s="136"/>
      <c r="B838" s="143"/>
      <c r="C838" s="143"/>
      <c r="D838" s="143"/>
      <c r="E838" s="143"/>
      <c r="F838" s="143"/>
      <c r="G838" s="143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</row>
    <row r="839" spans="1:19" ht="19.5">
      <c r="A839" s="136"/>
      <c r="B839" s="143"/>
      <c r="C839" s="143"/>
      <c r="D839" s="143"/>
      <c r="E839" s="143"/>
      <c r="F839" s="143"/>
      <c r="G839" s="143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</row>
    <row r="840" spans="1:19" ht="19.5">
      <c r="A840" s="136"/>
      <c r="B840" s="143"/>
      <c r="C840" s="143"/>
      <c r="D840" s="143"/>
      <c r="E840" s="143"/>
      <c r="F840" s="143"/>
      <c r="G840" s="143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</row>
    <row r="841" spans="1:19" ht="19.5">
      <c r="A841" s="136"/>
      <c r="B841" s="143"/>
      <c r="C841" s="143"/>
      <c r="D841" s="143"/>
      <c r="E841" s="143"/>
      <c r="F841" s="143"/>
      <c r="G841" s="143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</row>
    <row r="842" spans="1:19" ht="19.5">
      <c r="A842" s="136"/>
      <c r="B842" s="143"/>
      <c r="C842" s="143"/>
      <c r="D842" s="143"/>
      <c r="E842" s="143"/>
      <c r="F842" s="143"/>
      <c r="G842" s="143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</row>
    <row r="843" spans="1:19" ht="19.5">
      <c r="A843" s="136"/>
      <c r="B843" s="143"/>
      <c r="C843" s="143"/>
      <c r="D843" s="143"/>
      <c r="E843" s="143"/>
      <c r="F843" s="143"/>
      <c r="G843" s="143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</row>
    <row r="844" spans="1:19" ht="19.5">
      <c r="A844" s="136"/>
      <c r="B844" s="143"/>
      <c r="C844" s="143"/>
      <c r="D844" s="143"/>
      <c r="E844" s="143"/>
      <c r="F844" s="143"/>
      <c r="G844" s="143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</row>
    <row r="845" spans="1:19" ht="19.5">
      <c r="A845" s="136"/>
      <c r="B845" s="143"/>
      <c r="C845" s="143"/>
      <c r="D845" s="143"/>
      <c r="E845" s="143"/>
      <c r="F845" s="143"/>
      <c r="G845" s="143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</row>
    <row r="846" spans="1:19" ht="19.5">
      <c r="A846" s="136"/>
      <c r="B846" s="143"/>
      <c r="C846" s="143"/>
      <c r="D846" s="143"/>
      <c r="E846" s="143"/>
      <c r="F846" s="143"/>
      <c r="G846" s="143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</row>
    <row r="847" spans="1:19" ht="19.5">
      <c r="A847" s="136"/>
      <c r="B847" s="143"/>
      <c r="C847" s="143"/>
      <c r="D847" s="143"/>
      <c r="E847" s="143"/>
      <c r="F847" s="143"/>
      <c r="G847" s="143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</row>
    <row r="848" spans="1:19" ht="19.5">
      <c r="A848" s="136"/>
      <c r="B848" s="143"/>
      <c r="C848" s="143"/>
      <c r="D848" s="143"/>
      <c r="E848" s="143"/>
      <c r="F848" s="143"/>
      <c r="G848" s="143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</row>
    <row r="849" spans="1:19" ht="19.5">
      <c r="A849" s="136"/>
      <c r="B849" s="143"/>
      <c r="C849" s="143"/>
      <c r="D849" s="143"/>
      <c r="E849" s="143"/>
      <c r="F849" s="143"/>
      <c r="G849" s="143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</row>
    <row r="850" spans="1:19" ht="19.5">
      <c r="A850" s="136"/>
      <c r="B850" s="143"/>
      <c r="C850" s="143"/>
      <c r="D850" s="143"/>
      <c r="E850" s="143"/>
      <c r="F850" s="143"/>
      <c r="G850" s="143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</row>
    <row r="851" spans="1:19" ht="19.5">
      <c r="A851" s="136"/>
      <c r="B851" s="143"/>
      <c r="C851" s="143"/>
      <c r="D851" s="143"/>
      <c r="E851" s="143"/>
      <c r="F851" s="143"/>
      <c r="G851" s="143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</row>
    <row r="852" spans="1:19" ht="19.5">
      <c r="A852" s="136"/>
      <c r="B852" s="143"/>
      <c r="C852" s="143"/>
      <c r="D852" s="143"/>
      <c r="E852" s="143"/>
      <c r="F852" s="143"/>
      <c r="G852" s="143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</row>
    <row r="853" spans="1:19" ht="19.5">
      <c r="A853" s="136"/>
      <c r="B853" s="143"/>
      <c r="C853" s="143"/>
      <c r="D853" s="143"/>
      <c r="E853" s="143"/>
      <c r="F853" s="143"/>
      <c r="G853" s="143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</row>
    <row r="854" spans="1:19" ht="19.5">
      <c r="A854" s="136"/>
      <c r="B854" s="143"/>
      <c r="C854" s="143"/>
      <c r="D854" s="143"/>
      <c r="E854" s="143"/>
      <c r="F854" s="143"/>
      <c r="G854" s="143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</row>
    <row r="855" spans="1:19" ht="19.5">
      <c r="A855" s="136"/>
      <c r="B855" s="143"/>
      <c r="C855" s="143"/>
      <c r="D855" s="143"/>
      <c r="E855" s="143"/>
      <c r="F855" s="143"/>
      <c r="G855" s="143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</row>
    <row r="856" spans="1:19" ht="19.5">
      <c r="A856" s="136"/>
      <c r="B856" s="143"/>
      <c r="C856" s="143"/>
      <c r="D856" s="143"/>
      <c r="E856" s="143"/>
      <c r="F856" s="143"/>
      <c r="G856" s="143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</row>
    <row r="857" spans="1:19" ht="19.5">
      <c r="A857" s="136"/>
      <c r="B857" s="143"/>
      <c r="C857" s="143"/>
      <c r="D857" s="143"/>
      <c r="E857" s="143"/>
      <c r="F857" s="143"/>
      <c r="G857" s="143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</row>
    <row r="858" spans="1:19" ht="19.5">
      <c r="A858" s="136"/>
      <c r="B858" s="143"/>
      <c r="C858" s="143"/>
      <c r="D858" s="143"/>
      <c r="E858" s="143"/>
      <c r="F858" s="143"/>
      <c r="G858" s="143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</row>
    <row r="859" spans="1:19" ht="19.5">
      <c r="A859" s="136"/>
      <c r="B859" s="143"/>
      <c r="C859" s="143"/>
      <c r="D859" s="143"/>
      <c r="E859" s="143"/>
      <c r="F859" s="143"/>
      <c r="G859" s="143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</row>
    <row r="860" spans="1:19" ht="19.5">
      <c r="A860" s="136"/>
      <c r="B860" s="143"/>
      <c r="C860" s="143"/>
      <c r="D860" s="143"/>
      <c r="E860" s="143"/>
      <c r="F860" s="143"/>
      <c r="G860" s="143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</row>
    <row r="861" spans="1:19" ht="19.5">
      <c r="A861" s="136"/>
      <c r="B861" s="143"/>
      <c r="C861" s="143"/>
      <c r="D861" s="143"/>
      <c r="E861" s="143"/>
      <c r="F861" s="143"/>
      <c r="G861" s="143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</row>
    <row r="862" spans="1:19" ht="19.5">
      <c r="A862" s="136"/>
      <c r="B862" s="143"/>
      <c r="C862" s="143"/>
      <c r="D862" s="143"/>
      <c r="E862" s="143"/>
      <c r="F862" s="143"/>
      <c r="G862" s="143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</row>
    <row r="863" spans="1:19" ht="19.5">
      <c r="A863" s="136"/>
      <c r="B863" s="143"/>
      <c r="C863" s="143"/>
      <c r="D863" s="143"/>
      <c r="E863" s="143"/>
      <c r="F863" s="143"/>
      <c r="G863" s="143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</row>
    <row r="864" spans="1:19" ht="19.5">
      <c r="A864" s="136"/>
      <c r="B864" s="143"/>
      <c r="C864" s="143"/>
      <c r="D864" s="143"/>
      <c r="E864" s="143"/>
      <c r="F864" s="143"/>
      <c r="G864" s="143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</row>
    <row r="865" spans="1:19" ht="19.5">
      <c r="A865" s="136"/>
      <c r="B865" s="143"/>
      <c r="C865" s="143"/>
      <c r="D865" s="143"/>
      <c r="E865" s="143"/>
      <c r="F865" s="143"/>
      <c r="G865" s="143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</row>
    <row r="866" spans="1:19" ht="19.5">
      <c r="A866" s="136"/>
      <c r="B866" s="143"/>
      <c r="C866" s="143"/>
      <c r="D866" s="143"/>
      <c r="E866" s="143"/>
      <c r="F866" s="143"/>
      <c r="G866" s="143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</row>
    <row r="867" spans="1:19" ht="19.5">
      <c r="A867" s="136"/>
      <c r="B867" s="143"/>
      <c r="C867" s="143"/>
      <c r="D867" s="143"/>
      <c r="E867" s="143"/>
      <c r="F867" s="143"/>
      <c r="G867" s="143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</row>
    <row r="868" spans="1:19" ht="19.5">
      <c r="A868" s="136"/>
      <c r="B868" s="143"/>
      <c r="C868" s="143"/>
      <c r="D868" s="143"/>
      <c r="E868" s="143"/>
      <c r="F868" s="143"/>
      <c r="G868" s="143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</row>
    <row r="869" spans="1:19" ht="19.5">
      <c r="A869" s="136"/>
      <c r="B869" s="143"/>
      <c r="C869" s="143"/>
      <c r="D869" s="143"/>
      <c r="E869" s="143"/>
      <c r="F869" s="143"/>
      <c r="G869" s="143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</row>
    <row r="870" spans="1:19" ht="19.5">
      <c r="A870" s="136"/>
      <c r="B870" s="143"/>
      <c r="C870" s="143"/>
      <c r="D870" s="143"/>
      <c r="E870" s="143"/>
      <c r="F870" s="143"/>
      <c r="G870" s="143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</row>
    <row r="871" spans="1:19" ht="19.5">
      <c r="A871" s="136"/>
      <c r="B871" s="143"/>
      <c r="C871" s="143"/>
      <c r="D871" s="143"/>
      <c r="E871" s="143"/>
      <c r="F871" s="143"/>
      <c r="G871" s="143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</row>
    <row r="872" spans="1:19" ht="19.5">
      <c r="A872" s="136"/>
      <c r="B872" s="143"/>
      <c r="C872" s="143"/>
      <c r="D872" s="143"/>
      <c r="E872" s="143"/>
      <c r="F872" s="143"/>
      <c r="G872" s="143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</row>
    <row r="873" spans="1:19" ht="19.5">
      <c r="A873" s="136"/>
      <c r="B873" s="143"/>
      <c r="C873" s="143"/>
      <c r="D873" s="143"/>
      <c r="E873" s="143"/>
      <c r="F873" s="143"/>
      <c r="G873" s="143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</row>
    <row r="874" spans="1:19" ht="19.5">
      <c r="A874" s="136"/>
      <c r="B874" s="143"/>
      <c r="C874" s="143"/>
      <c r="D874" s="143"/>
      <c r="E874" s="143"/>
      <c r="F874" s="143"/>
      <c r="G874" s="143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</row>
    <row r="875" spans="1:19" ht="19.5">
      <c r="A875" s="136"/>
      <c r="B875" s="143"/>
      <c r="C875" s="143"/>
      <c r="D875" s="143"/>
      <c r="E875" s="143"/>
      <c r="F875" s="143"/>
      <c r="G875" s="143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</row>
    <row r="876" spans="1:19" ht="19.5">
      <c r="A876" s="136"/>
      <c r="B876" s="143"/>
      <c r="C876" s="143"/>
      <c r="D876" s="143"/>
      <c r="E876" s="143"/>
      <c r="F876" s="143"/>
      <c r="G876" s="143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</row>
    <row r="877" spans="1:19" ht="19.5">
      <c r="A877" s="136"/>
      <c r="B877" s="143"/>
      <c r="C877" s="143"/>
      <c r="D877" s="143"/>
      <c r="E877" s="143"/>
      <c r="F877" s="143"/>
      <c r="G877" s="143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</row>
    <row r="878" spans="1:19" ht="19.5">
      <c r="A878" s="136"/>
      <c r="B878" s="143"/>
      <c r="C878" s="143"/>
      <c r="D878" s="143"/>
      <c r="E878" s="143"/>
      <c r="F878" s="143"/>
      <c r="G878" s="143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</row>
    <row r="879" spans="1:19" ht="19.5">
      <c r="A879" s="136"/>
      <c r="B879" s="143"/>
      <c r="C879" s="143"/>
      <c r="D879" s="143"/>
      <c r="E879" s="143"/>
      <c r="F879" s="143"/>
      <c r="G879" s="143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</row>
    <row r="880" spans="1:19" ht="19.5">
      <c r="A880" s="136"/>
      <c r="B880" s="143"/>
      <c r="C880" s="143"/>
      <c r="D880" s="143"/>
      <c r="E880" s="143"/>
      <c r="F880" s="143"/>
      <c r="G880" s="143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</row>
    <row r="881" spans="1:19" ht="19.5">
      <c r="A881" s="136"/>
      <c r="B881" s="143"/>
      <c r="C881" s="143"/>
      <c r="D881" s="143"/>
      <c r="E881" s="143"/>
      <c r="F881" s="143"/>
      <c r="G881" s="143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</row>
    <row r="882" spans="1:19" ht="19.5">
      <c r="A882" s="136"/>
      <c r="B882" s="143"/>
      <c r="C882" s="143"/>
      <c r="D882" s="143"/>
      <c r="E882" s="143"/>
      <c r="F882" s="143"/>
      <c r="G882" s="143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</row>
    <row r="883" spans="1:19" ht="19.5">
      <c r="A883" s="136"/>
      <c r="B883" s="143"/>
      <c r="C883" s="143"/>
      <c r="D883" s="143"/>
      <c r="E883" s="143"/>
      <c r="F883" s="143"/>
      <c r="G883" s="143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</row>
    <row r="884" spans="1:19" ht="19.5">
      <c r="A884" s="136"/>
      <c r="B884" s="143"/>
      <c r="C884" s="143"/>
      <c r="D884" s="143"/>
      <c r="E884" s="143"/>
      <c r="F884" s="143"/>
      <c r="G884" s="143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</row>
    <row r="885" spans="1:19" ht="19.5">
      <c r="A885" s="136"/>
      <c r="B885" s="143"/>
      <c r="C885" s="143"/>
      <c r="D885" s="143"/>
      <c r="E885" s="143"/>
      <c r="F885" s="143"/>
      <c r="G885" s="143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</row>
    <row r="886" spans="1:19" ht="19.5">
      <c r="A886" s="136"/>
      <c r="B886" s="143"/>
      <c r="C886" s="143"/>
      <c r="D886" s="143"/>
      <c r="E886" s="143"/>
      <c r="F886" s="143"/>
      <c r="G886" s="143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</row>
    <row r="887" spans="1:19" ht="19.5">
      <c r="A887" s="136"/>
      <c r="B887" s="143"/>
      <c r="C887" s="143"/>
      <c r="D887" s="143"/>
      <c r="E887" s="143"/>
      <c r="F887" s="143"/>
      <c r="G887" s="143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</row>
    <row r="888" spans="1:19" ht="19.5">
      <c r="A888" s="136"/>
      <c r="B888" s="143"/>
      <c r="C888" s="143"/>
      <c r="D888" s="143"/>
      <c r="E888" s="143"/>
      <c r="F888" s="143"/>
      <c r="G888" s="143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</row>
    <row r="889" spans="1:19" ht="19.5">
      <c r="A889" s="136"/>
      <c r="B889" s="143"/>
      <c r="C889" s="143"/>
      <c r="D889" s="143"/>
      <c r="E889" s="143"/>
      <c r="F889" s="143"/>
      <c r="G889" s="143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</row>
    <row r="890" spans="1:19" ht="19.5">
      <c r="A890" s="136"/>
      <c r="B890" s="143"/>
      <c r="C890" s="143"/>
      <c r="D890" s="143"/>
      <c r="E890" s="143"/>
      <c r="F890" s="143"/>
      <c r="G890" s="143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</row>
    <row r="891" spans="1:19" ht="19.5">
      <c r="A891" s="136"/>
      <c r="B891" s="143"/>
      <c r="C891" s="143"/>
      <c r="D891" s="143"/>
      <c r="E891" s="143"/>
      <c r="F891" s="143"/>
      <c r="G891" s="143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</row>
    <row r="892" spans="1:19" ht="19.5">
      <c r="A892" s="136"/>
      <c r="B892" s="143"/>
      <c r="C892" s="143"/>
      <c r="D892" s="143"/>
      <c r="E892" s="143"/>
      <c r="F892" s="143"/>
      <c r="G892" s="143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</row>
    <row r="893" spans="1:19" ht="19.5">
      <c r="A893" s="136"/>
      <c r="B893" s="143"/>
      <c r="C893" s="143"/>
      <c r="D893" s="143"/>
      <c r="E893" s="143"/>
      <c r="F893" s="143"/>
      <c r="G893" s="143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</row>
    <row r="894" spans="1:19" ht="19.5">
      <c r="A894" s="136"/>
      <c r="B894" s="143"/>
      <c r="C894" s="143"/>
      <c r="D894" s="143"/>
      <c r="E894" s="143"/>
      <c r="F894" s="143"/>
      <c r="G894" s="143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</row>
    <row r="895" spans="1:19" ht="19.5">
      <c r="A895" s="136"/>
      <c r="B895" s="143"/>
      <c r="C895" s="143"/>
      <c r="D895" s="143"/>
      <c r="E895" s="143"/>
      <c r="F895" s="143"/>
      <c r="G895" s="143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</row>
    <row r="896" spans="1:19" ht="19.5">
      <c r="A896" s="136"/>
      <c r="B896" s="143"/>
      <c r="C896" s="143"/>
      <c r="D896" s="143"/>
      <c r="E896" s="143"/>
      <c r="F896" s="143"/>
      <c r="G896" s="143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</row>
    <row r="897" spans="1:19" ht="19.5">
      <c r="A897" s="136"/>
      <c r="B897" s="143"/>
      <c r="C897" s="143"/>
      <c r="D897" s="143"/>
      <c r="E897" s="143"/>
      <c r="F897" s="143"/>
      <c r="G897" s="143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</row>
    <row r="898" spans="1:19" ht="19.5">
      <c r="A898" s="136"/>
      <c r="B898" s="143"/>
      <c r="C898" s="143"/>
      <c r="D898" s="143"/>
      <c r="E898" s="143"/>
      <c r="F898" s="143"/>
      <c r="G898" s="143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</row>
    <row r="899" spans="1:19" ht="19.5">
      <c r="A899" s="136"/>
      <c r="B899" s="143"/>
      <c r="C899" s="143"/>
      <c r="D899" s="143"/>
      <c r="E899" s="143"/>
      <c r="F899" s="143"/>
      <c r="G899" s="143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</row>
    <row r="900" spans="1:19" ht="19.5">
      <c r="A900" s="136"/>
      <c r="B900" s="143"/>
      <c r="C900" s="143"/>
      <c r="D900" s="143"/>
      <c r="E900" s="143"/>
      <c r="F900" s="143"/>
      <c r="G900" s="143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</row>
    <row r="901" spans="1:19" ht="19.5">
      <c r="A901" s="136"/>
      <c r="B901" s="143"/>
      <c r="C901" s="143"/>
      <c r="D901" s="143"/>
      <c r="E901" s="143"/>
      <c r="F901" s="143"/>
      <c r="G901" s="143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</row>
    <row r="902" spans="1:19" ht="19.5">
      <c r="A902" s="136"/>
      <c r="B902" s="143"/>
      <c r="C902" s="143"/>
      <c r="D902" s="143"/>
      <c r="E902" s="143"/>
      <c r="F902" s="143"/>
      <c r="G902" s="143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</row>
    <row r="903" spans="1:19" ht="19.5">
      <c r="A903" s="136"/>
      <c r="B903" s="143"/>
      <c r="C903" s="143"/>
      <c r="D903" s="143"/>
      <c r="E903" s="143"/>
      <c r="F903" s="143"/>
      <c r="G903" s="143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</row>
    <row r="904" spans="1:19" ht="19.5">
      <c r="A904" s="136"/>
      <c r="B904" s="143"/>
      <c r="C904" s="143"/>
      <c r="D904" s="143"/>
      <c r="E904" s="143"/>
      <c r="F904" s="143"/>
      <c r="G904" s="143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</row>
    <row r="905" spans="1:19" ht="19.5">
      <c r="A905" s="136"/>
      <c r="B905" s="143"/>
      <c r="C905" s="143"/>
      <c r="D905" s="143"/>
      <c r="E905" s="143"/>
      <c r="F905" s="143"/>
      <c r="G905" s="143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</row>
    <row r="906" spans="1:19" ht="19.5">
      <c r="A906" s="136"/>
      <c r="B906" s="143"/>
      <c r="C906" s="143"/>
      <c r="D906" s="143"/>
      <c r="E906" s="143"/>
      <c r="F906" s="143"/>
      <c r="G906" s="143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</row>
    <row r="907" spans="1:19" ht="19.5">
      <c r="A907" s="136"/>
      <c r="B907" s="143"/>
      <c r="C907" s="143"/>
      <c r="D907" s="143"/>
      <c r="E907" s="143"/>
      <c r="F907" s="143"/>
      <c r="G907" s="143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</row>
    <row r="908" spans="1:19" ht="19.5">
      <c r="A908" s="136"/>
      <c r="B908" s="143"/>
      <c r="C908" s="143"/>
      <c r="D908" s="143"/>
      <c r="E908" s="143"/>
      <c r="F908" s="143"/>
      <c r="G908" s="143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</row>
    <row r="909" spans="1:19" ht="19.5">
      <c r="A909" s="136"/>
      <c r="B909" s="143"/>
      <c r="C909" s="143"/>
      <c r="D909" s="143"/>
      <c r="E909" s="143"/>
      <c r="F909" s="143"/>
      <c r="G909" s="143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</row>
    <row r="910" spans="1:19" ht="19.5">
      <c r="A910" s="136"/>
      <c r="B910" s="143"/>
      <c r="C910" s="143"/>
      <c r="D910" s="143"/>
      <c r="E910" s="143"/>
      <c r="F910" s="143"/>
      <c r="G910" s="143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</row>
    <row r="911" spans="1:19" ht="19.5">
      <c r="A911" s="136"/>
      <c r="B911" s="143"/>
      <c r="C911" s="143"/>
      <c r="D911" s="143"/>
      <c r="E911" s="143"/>
      <c r="F911" s="143"/>
      <c r="G911" s="143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</row>
    <row r="912" spans="1:19" ht="19.5">
      <c r="A912" s="136"/>
      <c r="B912" s="143"/>
      <c r="C912" s="143"/>
      <c r="D912" s="143"/>
      <c r="E912" s="143"/>
      <c r="F912" s="143"/>
      <c r="G912" s="143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</row>
    <row r="913" spans="1:19" ht="19.5">
      <c r="A913" s="136"/>
      <c r="B913" s="143"/>
      <c r="C913" s="143"/>
      <c r="D913" s="143"/>
      <c r="E913" s="143"/>
      <c r="F913" s="143"/>
      <c r="G913" s="143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</row>
    <row r="914" spans="1:19" ht="19.5">
      <c r="A914" s="136"/>
      <c r="B914" s="143"/>
      <c r="C914" s="143"/>
      <c r="D914" s="143"/>
      <c r="E914" s="143"/>
      <c r="F914" s="143"/>
      <c r="G914" s="143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</row>
    <row r="915" spans="1:19" ht="19.5">
      <c r="A915" s="136"/>
      <c r="B915" s="143"/>
      <c r="C915" s="143"/>
      <c r="D915" s="143"/>
      <c r="E915" s="143"/>
      <c r="F915" s="143"/>
      <c r="G915" s="143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</row>
    <row r="916" spans="1:19" ht="19.5">
      <c r="A916" s="136"/>
      <c r="B916" s="143"/>
      <c r="C916" s="143"/>
      <c r="D916" s="143"/>
      <c r="E916" s="143"/>
      <c r="F916" s="143"/>
      <c r="G916" s="143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</row>
    <row r="917" spans="1:19" ht="19.5">
      <c r="A917" s="136"/>
      <c r="B917" s="143"/>
      <c r="C917" s="143"/>
      <c r="D917" s="143"/>
      <c r="E917" s="143"/>
      <c r="F917" s="143"/>
      <c r="G917" s="143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</row>
    <row r="918" spans="1:19" ht="19.5">
      <c r="A918" s="136"/>
      <c r="B918" s="143"/>
      <c r="C918" s="143"/>
      <c r="D918" s="143"/>
      <c r="E918" s="143"/>
      <c r="F918" s="143"/>
      <c r="G918" s="143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</row>
    <row r="919" spans="1:19" ht="19.5">
      <c r="A919" s="136"/>
      <c r="B919" s="143"/>
      <c r="C919" s="143"/>
      <c r="D919" s="143"/>
      <c r="E919" s="143"/>
      <c r="F919" s="143"/>
      <c r="G919" s="143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</row>
    <row r="920" spans="1:19" ht="19.5">
      <c r="A920" s="136"/>
      <c r="B920" s="143"/>
      <c r="C920" s="143"/>
      <c r="D920" s="143"/>
      <c r="E920" s="143"/>
      <c r="F920" s="143"/>
      <c r="G920" s="143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</row>
    <row r="921" spans="1:19" ht="19.5">
      <c r="A921" s="136"/>
      <c r="B921" s="143"/>
      <c r="C921" s="143"/>
      <c r="D921" s="143"/>
      <c r="E921" s="143"/>
      <c r="F921" s="143"/>
      <c r="G921" s="143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</row>
    <row r="922" spans="1:19" ht="19.5">
      <c r="A922" s="136"/>
      <c r="B922" s="143"/>
      <c r="C922" s="143"/>
      <c r="D922" s="143"/>
      <c r="E922" s="143"/>
      <c r="F922" s="143"/>
      <c r="G922" s="143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</row>
    <row r="923" spans="1:19" ht="19.5">
      <c r="A923" s="136"/>
      <c r="B923" s="143"/>
      <c r="C923" s="143"/>
      <c r="D923" s="143"/>
      <c r="E923" s="143"/>
      <c r="F923" s="143"/>
      <c r="G923" s="143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</row>
    <row r="924" spans="1:19" ht="19.5">
      <c r="A924" s="136"/>
      <c r="B924" s="143"/>
      <c r="C924" s="143"/>
      <c r="D924" s="143"/>
      <c r="E924" s="143"/>
      <c r="F924" s="143"/>
      <c r="G924" s="143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</row>
    <row r="925" spans="1:19" ht="19.5">
      <c r="A925" s="136"/>
      <c r="B925" s="143"/>
      <c r="C925" s="143"/>
      <c r="D925" s="143"/>
      <c r="E925" s="143"/>
      <c r="F925" s="143"/>
      <c r="G925" s="143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</row>
    <row r="926" spans="1:19" ht="19.5">
      <c r="A926" s="136"/>
      <c r="B926" s="143"/>
      <c r="C926" s="143"/>
      <c r="D926" s="143"/>
      <c r="E926" s="143"/>
      <c r="F926" s="143"/>
      <c r="G926" s="143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</row>
    <row r="927" spans="1:19" ht="19.5">
      <c r="A927" s="136"/>
      <c r="B927" s="143"/>
      <c r="C927" s="143"/>
      <c r="D927" s="143"/>
      <c r="E927" s="143"/>
      <c r="F927" s="143"/>
      <c r="G927" s="143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</row>
    <row r="928" spans="1:19" ht="19.5">
      <c r="A928" s="136"/>
      <c r="B928" s="143"/>
      <c r="C928" s="143"/>
      <c r="D928" s="143"/>
      <c r="E928" s="143"/>
      <c r="F928" s="143"/>
      <c r="G928" s="143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</row>
    <row r="929" spans="1:19" ht="19.5">
      <c r="A929" s="136"/>
      <c r="B929" s="143"/>
      <c r="C929" s="143"/>
      <c r="D929" s="143"/>
      <c r="E929" s="143"/>
      <c r="F929" s="143"/>
      <c r="G929" s="143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</row>
    <row r="930" spans="1:19" ht="19.5">
      <c r="A930" s="136"/>
      <c r="B930" s="143"/>
      <c r="C930" s="143"/>
      <c r="D930" s="143"/>
      <c r="E930" s="143"/>
      <c r="F930" s="143"/>
      <c r="G930" s="143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</row>
    <row r="931" spans="1:19" ht="19.5">
      <c r="A931" s="136"/>
      <c r="B931" s="143"/>
      <c r="C931" s="143"/>
      <c r="D931" s="143"/>
      <c r="E931" s="143"/>
      <c r="F931" s="143"/>
      <c r="G931" s="143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</row>
    <row r="932" spans="1:19" ht="19.5">
      <c r="A932" s="136"/>
      <c r="B932" s="143"/>
      <c r="C932" s="143"/>
      <c r="D932" s="143"/>
      <c r="E932" s="143"/>
      <c r="F932" s="143"/>
      <c r="G932" s="143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</row>
    <row r="933" spans="1:19" ht="19.5">
      <c r="A933" s="136"/>
      <c r="B933" s="143"/>
      <c r="C933" s="143"/>
      <c r="D933" s="143"/>
      <c r="E933" s="143"/>
      <c r="F933" s="143"/>
      <c r="G933" s="143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</row>
    <row r="934" spans="1:19" ht="19.5">
      <c r="A934" s="136"/>
      <c r="B934" s="143"/>
      <c r="C934" s="143"/>
      <c r="D934" s="143"/>
      <c r="E934" s="143"/>
      <c r="F934" s="143"/>
      <c r="G934" s="143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</row>
    <row r="935" spans="1:19" ht="19.5">
      <c r="A935" s="136"/>
      <c r="B935" s="143"/>
      <c r="C935" s="143"/>
      <c r="D935" s="143"/>
      <c r="E935" s="143"/>
      <c r="F935" s="143"/>
      <c r="G935" s="143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</row>
    <row r="936" spans="1:19" ht="19.5">
      <c r="A936" s="136"/>
      <c r="B936" s="143"/>
      <c r="C936" s="143"/>
      <c r="D936" s="143"/>
      <c r="E936" s="143"/>
      <c r="F936" s="143"/>
      <c r="G936" s="143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</row>
    <row r="937" spans="1:19" ht="19.5">
      <c r="A937" s="136"/>
      <c r="B937" s="143"/>
      <c r="C937" s="143"/>
      <c r="D937" s="143"/>
      <c r="E937" s="143"/>
      <c r="F937" s="143"/>
      <c r="G937" s="143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</row>
    <row r="938" spans="1:19" ht="19.5">
      <c r="A938" s="136"/>
      <c r="B938" s="143"/>
      <c r="C938" s="143"/>
      <c r="D938" s="143"/>
      <c r="E938" s="143"/>
      <c r="F938" s="143"/>
      <c r="G938" s="143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</row>
    <row r="939" spans="1:19" ht="19.5">
      <c r="A939" s="136"/>
      <c r="B939" s="143"/>
      <c r="C939" s="143"/>
      <c r="D939" s="143"/>
      <c r="E939" s="143"/>
      <c r="F939" s="143"/>
      <c r="G939" s="143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</row>
    <row r="940" spans="1:19" ht="19.5">
      <c r="A940" s="136"/>
      <c r="B940" s="143"/>
      <c r="C940" s="143"/>
      <c r="D940" s="143"/>
      <c r="E940" s="143"/>
      <c r="F940" s="143"/>
      <c r="G940" s="143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</row>
    <row r="941" spans="1:19" ht="19.5">
      <c r="A941" s="136"/>
      <c r="B941" s="143"/>
      <c r="C941" s="143"/>
      <c r="D941" s="143"/>
      <c r="E941" s="143"/>
      <c r="F941" s="143"/>
      <c r="G941" s="143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</row>
    <row r="942" spans="1:19" ht="19.5">
      <c r="A942" s="136"/>
      <c r="B942" s="143"/>
      <c r="C942" s="143"/>
      <c r="D942" s="143"/>
      <c r="E942" s="143"/>
      <c r="F942" s="143"/>
      <c r="G942" s="143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</row>
    <row r="943" spans="1:19" ht="19.5">
      <c r="A943" s="136"/>
      <c r="B943" s="143"/>
      <c r="C943" s="143"/>
      <c r="D943" s="143"/>
      <c r="E943" s="143"/>
      <c r="F943" s="143"/>
      <c r="G943" s="143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</row>
    <row r="944" spans="1:19" ht="19.5">
      <c r="A944" s="136"/>
      <c r="B944" s="143"/>
      <c r="C944" s="143"/>
      <c r="D944" s="143"/>
      <c r="E944" s="143"/>
      <c r="F944" s="143"/>
      <c r="G944" s="143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</row>
    <row r="945" spans="1:19" ht="19.5">
      <c r="A945" s="136"/>
      <c r="B945" s="143"/>
      <c r="C945" s="143"/>
      <c r="D945" s="143"/>
      <c r="E945" s="143"/>
      <c r="F945" s="143"/>
      <c r="G945" s="143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</row>
    <row r="946" spans="1:19" ht="19.5">
      <c r="A946" s="136"/>
      <c r="B946" s="143"/>
      <c r="C946" s="143"/>
      <c r="D946" s="143"/>
      <c r="E946" s="143"/>
      <c r="F946" s="143"/>
      <c r="G946" s="143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</row>
    <row r="947" spans="1:19" ht="19.5">
      <c r="A947" s="136"/>
      <c r="B947" s="143"/>
      <c r="C947" s="143"/>
      <c r="D947" s="143"/>
      <c r="E947" s="143"/>
      <c r="F947" s="143"/>
      <c r="G947" s="143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</row>
    <row r="948" spans="1:19" ht="19.5">
      <c r="A948" s="136"/>
      <c r="B948" s="143"/>
      <c r="C948" s="143"/>
      <c r="D948" s="143"/>
      <c r="E948" s="143"/>
      <c r="F948" s="143"/>
      <c r="G948" s="143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</row>
    <row r="949" spans="1:19" ht="19.5">
      <c r="A949" s="136"/>
      <c r="B949" s="143"/>
      <c r="C949" s="143"/>
      <c r="D949" s="143"/>
      <c r="E949" s="143"/>
      <c r="F949" s="143"/>
      <c r="G949" s="143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</row>
    <row r="950" spans="1:19" ht="19.5">
      <c r="A950" s="136"/>
      <c r="B950" s="143"/>
      <c r="C950" s="143"/>
      <c r="D950" s="143"/>
      <c r="E950" s="143"/>
      <c r="F950" s="143"/>
      <c r="G950" s="143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</row>
    <row r="951" spans="1:19" ht="19.5">
      <c r="A951" s="136"/>
      <c r="B951" s="143"/>
      <c r="C951" s="143"/>
      <c r="D951" s="143"/>
      <c r="E951" s="143"/>
      <c r="F951" s="143"/>
      <c r="G951" s="143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</row>
    <row r="952" spans="1:19" ht="19.5">
      <c r="A952" s="136"/>
      <c r="B952" s="143"/>
      <c r="C952" s="143"/>
      <c r="D952" s="143"/>
      <c r="E952" s="143"/>
      <c r="F952" s="143"/>
      <c r="G952" s="143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</row>
    <row r="953" spans="1:19" ht="19.5">
      <c r="A953" s="136"/>
      <c r="B953" s="143"/>
      <c r="C953" s="143"/>
      <c r="D953" s="143"/>
      <c r="E953" s="143"/>
      <c r="F953" s="143"/>
      <c r="G953" s="143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</row>
    <row r="954" spans="1:19" ht="19.5">
      <c r="A954" s="136"/>
      <c r="B954" s="143"/>
      <c r="C954" s="143"/>
      <c r="D954" s="143"/>
      <c r="E954" s="143"/>
      <c r="F954" s="143"/>
      <c r="G954" s="143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</row>
    <row r="955" spans="1:19" ht="19.5">
      <c r="A955" s="136"/>
      <c r="B955" s="143"/>
      <c r="C955" s="143"/>
      <c r="D955" s="143"/>
      <c r="E955" s="143"/>
      <c r="F955" s="143"/>
      <c r="G955" s="143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</row>
    <row r="956" spans="1:19" ht="19.5">
      <c r="A956" s="136"/>
      <c r="B956" s="143"/>
      <c r="C956" s="143"/>
      <c r="D956" s="143"/>
      <c r="E956" s="143"/>
      <c r="F956" s="143"/>
      <c r="G956" s="143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</row>
    <row r="957" spans="1:19" ht="19.5">
      <c r="A957" s="136"/>
      <c r="B957" s="143"/>
      <c r="C957" s="143"/>
      <c r="D957" s="143"/>
      <c r="E957" s="143"/>
      <c r="F957" s="143"/>
      <c r="G957" s="143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</row>
    <row r="958" spans="1:19" ht="19.5">
      <c r="A958" s="136"/>
      <c r="B958" s="143"/>
      <c r="C958" s="143"/>
      <c r="D958" s="143"/>
      <c r="E958" s="143"/>
      <c r="F958" s="143"/>
      <c r="G958" s="143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</row>
    <row r="959" spans="1:19" ht="19.5">
      <c r="A959" s="136"/>
      <c r="B959" s="143"/>
      <c r="C959" s="143"/>
      <c r="D959" s="143"/>
      <c r="E959" s="143"/>
      <c r="F959" s="143"/>
      <c r="G959" s="143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</row>
    <row r="960" spans="1:19" ht="19.5">
      <c r="A960" s="136"/>
      <c r="B960" s="143"/>
      <c r="C960" s="143"/>
      <c r="D960" s="143"/>
      <c r="E960" s="143"/>
      <c r="F960" s="143"/>
      <c r="G960" s="143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</row>
    <row r="961" spans="1:19" ht="19.5">
      <c r="A961" s="136"/>
      <c r="B961" s="143"/>
      <c r="C961" s="143"/>
      <c r="D961" s="143"/>
      <c r="E961" s="143"/>
      <c r="F961" s="143"/>
      <c r="G961" s="143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</row>
    <row r="962" spans="1:19" ht="19.5">
      <c r="A962" s="136"/>
      <c r="B962" s="143"/>
      <c r="C962" s="143"/>
      <c r="D962" s="143"/>
      <c r="E962" s="143"/>
      <c r="F962" s="143"/>
      <c r="G962" s="143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</row>
    <row r="963" spans="1:19" ht="19.5">
      <c r="A963" s="136"/>
      <c r="B963" s="143"/>
      <c r="C963" s="143"/>
      <c r="D963" s="143"/>
      <c r="E963" s="143"/>
      <c r="F963" s="143"/>
      <c r="G963" s="143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</row>
    <row r="964" spans="1:19" ht="19.5">
      <c r="A964" s="136"/>
      <c r="B964" s="143"/>
      <c r="C964" s="143"/>
      <c r="D964" s="143"/>
      <c r="E964" s="143"/>
      <c r="F964" s="143"/>
      <c r="G964" s="143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</row>
    <row r="965" spans="1:19" ht="19.5">
      <c r="A965" s="136"/>
      <c r="B965" s="143"/>
      <c r="C965" s="143"/>
      <c r="D965" s="143"/>
      <c r="E965" s="143"/>
      <c r="F965" s="143"/>
      <c r="G965" s="143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</row>
    <row r="966" spans="1:19" ht="19.5">
      <c r="A966" s="136"/>
      <c r="B966" s="143"/>
      <c r="C966" s="143"/>
      <c r="D966" s="143"/>
      <c r="E966" s="143"/>
      <c r="F966" s="143"/>
      <c r="G966" s="143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</row>
    <row r="967" spans="1:19" ht="19.5">
      <c r="A967" s="136"/>
      <c r="B967" s="143"/>
      <c r="C967" s="143"/>
      <c r="D967" s="143"/>
      <c r="E967" s="143"/>
      <c r="F967" s="143"/>
      <c r="G967" s="143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</row>
    <row r="968" spans="1:19" ht="19.5">
      <c r="A968" s="136"/>
      <c r="B968" s="143"/>
      <c r="C968" s="143"/>
      <c r="D968" s="143"/>
      <c r="E968" s="143"/>
      <c r="F968" s="143"/>
      <c r="G968" s="143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</row>
    <row r="969" spans="1:19" ht="19.5">
      <c r="A969" s="136"/>
      <c r="B969" s="143"/>
      <c r="C969" s="143"/>
      <c r="D969" s="143"/>
      <c r="E969" s="143"/>
      <c r="F969" s="143"/>
      <c r="G969" s="143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</row>
    <row r="970" spans="1:19" ht="19.5">
      <c r="A970" s="136"/>
      <c r="B970" s="143"/>
      <c r="C970" s="143"/>
      <c r="D970" s="143"/>
      <c r="E970" s="143"/>
      <c r="F970" s="143"/>
      <c r="G970" s="143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</row>
    <row r="971" spans="1:19" ht="19.5">
      <c r="A971" s="136"/>
      <c r="B971" s="143"/>
      <c r="C971" s="143"/>
      <c r="D971" s="143"/>
      <c r="E971" s="143"/>
      <c r="F971" s="143"/>
      <c r="G971" s="143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</row>
    <row r="972" spans="1:19" ht="19.5">
      <c r="A972" s="136"/>
      <c r="B972" s="143"/>
      <c r="C972" s="143"/>
      <c r="D972" s="143"/>
      <c r="E972" s="143"/>
      <c r="F972" s="143"/>
      <c r="G972" s="143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</row>
    <row r="973" spans="1:19" ht="19.5">
      <c r="A973" s="136"/>
      <c r="B973" s="143"/>
      <c r="C973" s="143"/>
      <c r="D973" s="143"/>
      <c r="E973" s="143"/>
      <c r="F973" s="143"/>
      <c r="G973" s="143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</row>
    <row r="974" spans="1:19" ht="19.5">
      <c r="A974" s="136"/>
      <c r="B974" s="143"/>
      <c r="C974" s="143"/>
      <c r="D974" s="143"/>
      <c r="E974" s="143"/>
      <c r="F974" s="143"/>
      <c r="G974" s="143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</row>
    <row r="975" spans="1:19" ht="19.5">
      <c r="A975" s="136"/>
      <c r="B975" s="143"/>
      <c r="C975" s="143"/>
      <c r="D975" s="143"/>
      <c r="E975" s="143"/>
      <c r="F975" s="143"/>
      <c r="G975" s="143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</row>
    <row r="976" spans="1:19" ht="19.5">
      <c r="A976" s="136"/>
      <c r="B976" s="143"/>
      <c r="C976" s="143"/>
      <c r="D976" s="143"/>
      <c r="E976" s="143"/>
      <c r="F976" s="143"/>
      <c r="G976" s="143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</row>
    <row r="977" spans="1:19" ht="19.5">
      <c r="A977" s="136"/>
      <c r="B977" s="143"/>
      <c r="C977" s="143"/>
      <c r="D977" s="143"/>
      <c r="E977" s="143"/>
      <c r="F977" s="143"/>
      <c r="G977" s="143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</row>
    <row r="978" spans="1:19" ht="19.5">
      <c r="A978" s="136"/>
      <c r="B978" s="143"/>
      <c r="C978" s="143"/>
      <c r="D978" s="143"/>
      <c r="E978" s="143"/>
      <c r="F978" s="143"/>
      <c r="G978" s="143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</row>
    <row r="979" spans="1:19" ht="19.5">
      <c r="A979" s="136"/>
      <c r="B979" s="143"/>
      <c r="C979" s="143"/>
      <c r="D979" s="143"/>
      <c r="E979" s="143"/>
      <c r="F979" s="143"/>
      <c r="G979" s="143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</row>
    <row r="980" spans="1:19" ht="19.5">
      <c r="A980" s="136"/>
      <c r="B980" s="143"/>
      <c r="C980" s="143"/>
      <c r="D980" s="143"/>
      <c r="E980" s="143"/>
      <c r="F980" s="143"/>
      <c r="G980" s="143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</row>
    <row r="981" spans="1:19" ht="19.5">
      <c r="A981" s="136"/>
      <c r="B981" s="143"/>
      <c r="C981" s="143"/>
      <c r="D981" s="143"/>
      <c r="E981" s="143"/>
      <c r="F981" s="143"/>
      <c r="G981" s="143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</row>
    <row r="982" spans="1:19" ht="19.5">
      <c r="A982" s="136"/>
      <c r="B982" s="143"/>
      <c r="C982" s="143"/>
      <c r="D982" s="143"/>
      <c r="E982" s="143"/>
      <c r="F982" s="143"/>
      <c r="G982" s="143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</row>
    <row r="983" spans="1:19" ht="19.5">
      <c r="A983" s="136"/>
      <c r="B983" s="143"/>
      <c r="C983" s="143"/>
      <c r="D983" s="143"/>
      <c r="E983" s="143"/>
      <c r="F983" s="143"/>
      <c r="G983" s="143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</row>
    <row r="984" spans="1:19" ht="19.5">
      <c r="A984" s="136"/>
      <c r="B984" s="143"/>
      <c r="C984" s="143"/>
      <c r="D984" s="143"/>
      <c r="E984" s="143"/>
      <c r="F984" s="143"/>
      <c r="G984" s="143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</row>
    <row r="985" spans="1:19" ht="19.5">
      <c r="A985" s="136"/>
      <c r="B985" s="143"/>
      <c r="C985" s="143"/>
      <c r="D985" s="143"/>
      <c r="E985" s="143"/>
      <c r="F985" s="143"/>
      <c r="G985" s="143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</row>
    <row r="986" spans="1:19" ht="19.5">
      <c r="A986" s="136"/>
      <c r="B986" s="143"/>
      <c r="C986" s="143"/>
      <c r="D986" s="143"/>
      <c r="E986" s="143"/>
      <c r="F986" s="143"/>
      <c r="G986" s="143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</row>
    <row r="987" spans="1:19" ht="19.5">
      <c r="A987" s="136"/>
      <c r="B987" s="143"/>
      <c r="C987" s="143"/>
      <c r="D987" s="143"/>
      <c r="E987" s="143"/>
      <c r="F987" s="143"/>
      <c r="G987" s="143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</row>
    <row r="988" spans="1:19" ht="19.5">
      <c r="A988" s="136"/>
      <c r="B988" s="143"/>
      <c r="C988" s="143"/>
      <c r="D988" s="143"/>
      <c r="E988" s="143"/>
      <c r="F988" s="143"/>
      <c r="G988" s="143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</row>
    <row r="989" spans="1:19" ht="19.5">
      <c r="A989" s="136"/>
      <c r="B989" s="143"/>
      <c r="C989" s="143"/>
      <c r="D989" s="143"/>
      <c r="E989" s="143"/>
      <c r="F989" s="143"/>
      <c r="G989" s="143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</row>
    <row r="990" spans="1:19" ht="19.5">
      <c r="A990" s="136"/>
      <c r="B990" s="143"/>
      <c r="C990" s="143"/>
      <c r="D990" s="143"/>
      <c r="E990" s="143"/>
      <c r="F990" s="143"/>
      <c r="G990" s="143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</row>
    <row r="991" spans="1:19" ht="19.5">
      <c r="A991" s="136"/>
      <c r="B991" s="143"/>
      <c r="C991" s="143"/>
      <c r="D991" s="143"/>
      <c r="E991" s="143"/>
      <c r="F991" s="143"/>
      <c r="G991" s="143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</row>
    <row r="992" spans="1:19" ht="19.5">
      <c r="A992" s="136"/>
      <c r="B992" s="143"/>
      <c r="C992" s="143"/>
      <c r="D992" s="143"/>
      <c r="E992" s="143"/>
      <c r="F992" s="143"/>
      <c r="G992" s="143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</row>
    <row r="993" spans="1:19" ht="19.5">
      <c r="A993" s="136"/>
      <c r="B993" s="143"/>
      <c r="C993" s="143"/>
      <c r="D993" s="143"/>
      <c r="E993" s="143"/>
      <c r="F993" s="143"/>
      <c r="G993" s="143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</row>
    <row r="994" spans="1:19" ht="19.5">
      <c r="A994" s="136"/>
      <c r="B994" s="143"/>
      <c r="C994" s="143"/>
      <c r="D994" s="143"/>
      <c r="E994" s="143"/>
      <c r="F994" s="143"/>
      <c r="G994" s="143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</row>
    <row r="995" spans="1:19" ht="19.5">
      <c r="A995" s="136"/>
      <c r="B995" s="143"/>
      <c r="C995" s="143"/>
      <c r="D995" s="143"/>
      <c r="E995" s="143"/>
      <c r="F995" s="143"/>
      <c r="G995" s="143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</row>
    <row r="996" spans="1:19" ht="19.5">
      <c r="A996" s="136"/>
      <c r="B996" s="143"/>
      <c r="C996" s="143"/>
      <c r="D996" s="143"/>
      <c r="E996" s="143"/>
      <c r="F996" s="143"/>
      <c r="G996" s="143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</row>
    <row r="997" spans="1:19" ht="19.5">
      <c r="A997" s="136"/>
      <c r="B997" s="143"/>
      <c r="C997" s="143"/>
      <c r="D997" s="143"/>
      <c r="E997" s="143"/>
      <c r="F997" s="143"/>
      <c r="G997" s="143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</row>
    <row r="998" spans="1:19" ht="19.5">
      <c r="A998" s="136"/>
      <c r="B998" s="143"/>
      <c r="C998" s="143"/>
      <c r="D998" s="143"/>
      <c r="E998" s="143"/>
      <c r="F998" s="143"/>
      <c r="G998" s="143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</row>
    <row r="999" spans="1:19" ht="19.5">
      <c r="A999" s="136"/>
      <c r="B999" s="143"/>
      <c r="C999" s="143"/>
      <c r="D999" s="143"/>
      <c r="E999" s="143"/>
      <c r="F999" s="143"/>
      <c r="G999" s="143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</row>
    <row r="1000" spans="1:19" ht="19.5">
      <c r="A1000" s="136"/>
      <c r="B1000" s="143"/>
      <c r="C1000" s="143"/>
      <c r="D1000" s="143"/>
      <c r="E1000" s="143"/>
      <c r="F1000" s="143"/>
      <c r="G1000" s="143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</row>
    <row r="1001" spans="1:19" ht="19.5">
      <c r="A1001" s="136"/>
      <c r="B1001" s="143"/>
      <c r="C1001" s="143"/>
      <c r="D1001" s="143"/>
      <c r="E1001" s="143"/>
      <c r="F1001" s="143"/>
      <c r="G1001" s="143"/>
      <c r="H1001" s="136"/>
      <c r="I1001" s="136"/>
      <c r="J1001" s="136"/>
      <c r="K1001" s="136"/>
      <c r="L1001" s="136"/>
      <c r="M1001" s="136"/>
      <c r="N1001" s="136"/>
      <c r="O1001" s="136"/>
      <c r="P1001" s="136"/>
      <c r="Q1001" s="136"/>
      <c r="R1001" s="136"/>
      <c r="S1001" s="136"/>
    </row>
    <row r="1002" spans="1:19" ht="19.5">
      <c r="A1002" s="136"/>
      <c r="B1002" s="143"/>
      <c r="C1002" s="143"/>
      <c r="D1002" s="143"/>
      <c r="E1002" s="143"/>
      <c r="F1002" s="143"/>
      <c r="G1002" s="143"/>
      <c r="H1002" s="136"/>
      <c r="I1002" s="136"/>
      <c r="J1002" s="136"/>
      <c r="K1002" s="136"/>
      <c r="L1002" s="136"/>
      <c r="M1002" s="136"/>
      <c r="N1002" s="136"/>
      <c r="O1002" s="136"/>
      <c r="P1002" s="136"/>
      <c r="Q1002" s="136"/>
      <c r="R1002" s="136"/>
      <c r="S1002" s="136"/>
    </row>
    <row r="1003" spans="1:19" ht="19.5">
      <c r="A1003" s="136"/>
      <c r="B1003" s="143"/>
      <c r="C1003" s="143"/>
      <c r="D1003" s="143"/>
      <c r="E1003" s="143"/>
      <c r="F1003" s="143"/>
      <c r="G1003" s="143"/>
      <c r="H1003" s="136"/>
      <c r="I1003" s="136"/>
      <c r="J1003" s="136"/>
      <c r="K1003" s="136"/>
      <c r="L1003" s="136"/>
      <c r="M1003" s="136"/>
      <c r="N1003" s="136"/>
      <c r="O1003" s="136"/>
      <c r="P1003" s="136"/>
      <c r="Q1003" s="136"/>
      <c r="R1003" s="136"/>
      <c r="S1003" s="136"/>
    </row>
    <row r="1004" spans="1:19" ht="19.5">
      <c r="A1004" s="136"/>
      <c r="B1004" s="143"/>
      <c r="C1004" s="143"/>
      <c r="D1004" s="143"/>
      <c r="E1004" s="143"/>
      <c r="F1004" s="143"/>
      <c r="G1004" s="143"/>
      <c r="H1004" s="136"/>
      <c r="I1004" s="136"/>
      <c r="J1004" s="136"/>
      <c r="K1004" s="136"/>
      <c r="L1004" s="136"/>
      <c r="M1004" s="136"/>
      <c r="N1004" s="136"/>
      <c r="O1004" s="136"/>
      <c r="P1004" s="136"/>
      <c r="Q1004" s="136"/>
      <c r="R1004" s="136"/>
      <c r="S1004" s="136"/>
    </row>
    <row r="1005" spans="1:19" ht="19.5">
      <c r="A1005" s="136"/>
      <c r="B1005" s="143"/>
      <c r="C1005" s="143"/>
      <c r="D1005" s="143"/>
      <c r="E1005" s="143"/>
      <c r="F1005" s="143"/>
      <c r="G1005" s="143"/>
      <c r="H1005" s="136"/>
      <c r="I1005" s="136"/>
      <c r="J1005" s="136"/>
      <c r="K1005" s="136"/>
      <c r="L1005" s="136"/>
      <c r="M1005" s="136"/>
      <c r="N1005" s="136"/>
      <c r="O1005" s="136"/>
      <c r="P1005" s="136"/>
      <c r="Q1005" s="136"/>
      <c r="R1005" s="136"/>
      <c r="S1005" s="136"/>
    </row>
    <row r="1006" spans="1:19" ht="19.5">
      <c r="A1006" s="136"/>
      <c r="B1006" s="143"/>
      <c r="C1006" s="143"/>
      <c r="D1006" s="143"/>
      <c r="E1006" s="143"/>
      <c r="F1006" s="143"/>
      <c r="G1006" s="143"/>
      <c r="H1006" s="136"/>
      <c r="I1006" s="136"/>
      <c r="J1006" s="136"/>
      <c r="K1006" s="136"/>
      <c r="L1006" s="136"/>
      <c r="M1006" s="136"/>
      <c r="N1006" s="136"/>
      <c r="O1006" s="136"/>
      <c r="P1006" s="136"/>
      <c r="Q1006" s="136"/>
      <c r="R1006" s="136"/>
      <c r="S1006" s="136"/>
    </row>
    <row r="1007" spans="1:19" ht="19.5">
      <c r="A1007" s="136"/>
      <c r="B1007" s="143"/>
      <c r="C1007" s="143"/>
      <c r="D1007" s="143"/>
      <c r="E1007" s="143"/>
      <c r="F1007" s="143"/>
      <c r="G1007" s="143"/>
      <c r="H1007" s="136"/>
      <c r="I1007" s="136"/>
      <c r="J1007" s="136"/>
      <c r="K1007" s="136"/>
      <c r="L1007" s="136"/>
      <c r="M1007" s="136"/>
      <c r="N1007" s="136"/>
      <c r="O1007" s="136"/>
      <c r="P1007" s="136"/>
      <c r="Q1007" s="136"/>
      <c r="R1007" s="136"/>
      <c r="S1007" s="136"/>
    </row>
    <row r="1008" spans="1:19" ht="19.5">
      <c r="A1008" s="136"/>
      <c r="B1008" s="143"/>
      <c r="C1008" s="143"/>
      <c r="D1008" s="143"/>
      <c r="E1008" s="143"/>
      <c r="F1008" s="143"/>
      <c r="G1008" s="143"/>
      <c r="H1008" s="136"/>
      <c r="I1008" s="136"/>
      <c r="J1008" s="136"/>
      <c r="K1008" s="136"/>
      <c r="L1008" s="136"/>
      <c r="M1008" s="136"/>
      <c r="N1008" s="136"/>
      <c r="O1008" s="136"/>
      <c r="P1008" s="136"/>
      <c r="Q1008" s="136"/>
      <c r="R1008" s="136"/>
      <c r="S1008" s="136"/>
    </row>
    <row r="1009" spans="1:19" ht="19.5">
      <c r="A1009" s="136"/>
      <c r="B1009" s="143"/>
      <c r="C1009" s="143"/>
      <c r="D1009" s="143"/>
      <c r="E1009" s="143"/>
      <c r="F1009" s="143"/>
      <c r="G1009" s="143"/>
      <c r="H1009" s="136"/>
      <c r="I1009" s="136"/>
      <c r="J1009" s="136"/>
      <c r="K1009" s="136"/>
      <c r="L1009" s="136"/>
      <c r="M1009" s="136"/>
      <c r="N1009" s="136"/>
      <c r="O1009" s="136"/>
      <c r="P1009" s="136"/>
      <c r="Q1009" s="136"/>
      <c r="R1009" s="136"/>
      <c r="S1009" s="136"/>
    </row>
    <row r="1010" spans="1:19" ht="19.5">
      <c r="A1010" s="136"/>
      <c r="B1010" s="143"/>
      <c r="C1010" s="143"/>
      <c r="D1010" s="143"/>
      <c r="E1010" s="143"/>
      <c r="F1010" s="143"/>
      <c r="G1010" s="143"/>
      <c r="H1010" s="136"/>
      <c r="I1010" s="136"/>
      <c r="J1010" s="136"/>
      <c r="K1010" s="136"/>
      <c r="L1010" s="136"/>
      <c r="M1010" s="136"/>
      <c r="N1010" s="136"/>
      <c r="O1010" s="136"/>
      <c r="P1010" s="136"/>
      <c r="Q1010" s="136"/>
      <c r="R1010" s="136"/>
      <c r="S1010" s="136"/>
    </row>
    <row r="1011" spans="1:19" ht="19.5">
      <c r="A1011" s="136"/>
      <c r="B1011" s="143"/>
      <c r="C1011" s="143"/>
      <c r="D1011" s="143"/>
      <c r="E1011" s="143"/>
      <c r="F1011" s="143"/>
      <c r="G1011" s="143"/>
      <c r="H1011" s="136"/>
      <c r="I1011" s="136"/>
      <c r="J1011" s="136"/>
      <c r="K1011" s="136"/>
      <c r="L1011" s="136"/>
      <c r="M1011" s="136"/>
      <c r="N1011" s="136"/>
      <c r="O1011" s="136"/>
      <c r="P1011" s="136"/>
      <c r="Q1011" s="136"/>
      <c r="R1011" s="136"/>
      <c r="S1011" s="136"/>
    </row>
    <row r="1012" spans="1:19" ht="19.5">
      <c r="A1012" s="136"/>
      <c r="B1012" s="143"/>
      <c r="C1012" s="143"/>
      <c r="D1012" s="143"/>
      <c r="E1012" s="143"/>
      <c r="F1012" s="143"/>
      <c r="G1012" s="143"/>
      <c r="H1012" s="136"/>
      <c r="I1012" s="136"/>
      <c r="J1012" s="136"/>
      <c r="K1012" s="136"/>
      <c r="L1012" s="136"/>
      <c r="M1012" s="136"/>
      <c r="N1012" s="136"/>
      <c r="O1012" s="136"/>
      <c r="P1012" s="136"/>
      <c r="Q1012" s="136"/>
      <c r="R1012" s="136"/>
      <c r="S1012" s="136"/>
    </row>
    <row r="1013" spans="1:19" ht="19.5">
      <c r="A1013" s="136"/>
      <c r="B1013" s="143"/>
      <c r="C1013" s="143"/>
      <c r="D1013" s="143"/>
      <c r="E1013" s="143"/>
      <c r="F1013" s="143"/>
      <c r="G1013" s="143"/>
      <c r="H1013" s="136"/>
      <c r="I1013" s="136"/>
      <c r="J1013" s="136"/>
      <c r="K1013" s="136"/>
      <c r="L1013" s="136"/>
      <c r="M1013" s="136"/>
      <c r="N1013" s="136"/>
      <c r="O1013" s="136"/>
      <c r="P1013" s="136"/>
      <c r="Q1013" s="136"/>
      <c r="R1013" s="136"/>
      <c r="S1013" s="136"/>
    </row>
    <row r="1014" spans="1:19" ht="19.5">
      <c r="A1014" s="136"/>
      <c r="B1014" s="143"/>
      <c r="C1014" s="143"/>
      <c r="D1014" s="143"/>
      <c r="E1014" s="143"/>
      <c r="F1014" s="143"/>
      <c r="G1014" s="143"/>
      <c r="H1014" s="136"/>
      <c r="I1014" s="136"/>
      <c r="J1014" s="136"/>
      <c r="K1014" s="136"/>
      <c r="L1014" s="136"/>
      <c r="M1014" s="136"/>
      <c r="N1014" s="136"/>
      <c r="O1014" s="136"/>
      <c r="P1014" s="136"/>
      <c r="Q1014" s="136"/>
      <c r="R1014" s="136"/>
      <c r="S1014" s="136"/>
    </row>
    <row r="1015" spans="1:19" ht="19.5">
      <c r="A1015" s="136"/>
      <c r="B1015" s="143"/>
      <c r="C1015" s="143"/>
      <c r="D1015" s="143"/>
      <c r="E1015" s="143"/>
      <c r="F1015" s="143"/>
      <c r="G1015" s="143"/>
      <c r="H1015" s="136"/>
      <c r="I1015" s="136"/>
      <c r="J1015" s="136"/>
      <c r="K1015" s="136"/>
      <c r="L1015" s="136"/>
      <c r="M1015" s="136"/>
      <c r="N1015" s="136"/>
      <c r="O1015" s="136"/>
      <c r="P1015" s="136"/>
      <c r="Q1015" s="136"/>
      <c r="R1015" s="136"/>
      <c r="S1015" s="136"/>
    </row>
    <row r="1016" spans="1:19" ht="19.5">
      <c r="A1016" s="136"/>
      <c r="B1016" s="143"/>
      <c r="C1016" s="143"/>
      <c r="D1016" s="143"/>
      <c r="E1016" s="143"/>
      <c r="F1016" s="143"/>
      <c r="G1016" s="143"/>
      <c r="H1016" s="136"/>
      <c r="I1016" s="136"/>
      <c r="J1016" s="136"/>
      <c r="K1016" s="136"/>
      <c r="L1016" s="136"/>
      <c r="M1016" s="136"/>
      <c r="N1016" s="136"/>
      <c r="O1016" s="136"/>
      <c r="P1016" s="136"/>
      <c r="Q1016" s="136"/>
      <c r="R1016" s="136"/>
      <c r="S1016" s="136"/>
    </row>
    <row r="1017" spans="1:19" ht="19.5">
      <c r="A1017" s="136"/>
      <c r="B1017" s="143"/>
      <c r="C1017" s="143"/>
      <c r="D1017" s="143"/>
      <c r="E1017" s="143"/>
      <c r="F1017" s="143"/>
      <c r="G1017" s="143"/>
      <c r="H1017" s="136"/>
      <c r="I1017" s="136"/>
      <c r="J1017" s="136"/>
      <c r="K1017" s="136"/>
      <c r="L1017" s="136"/>
      <c r="M1017" s="136"/>
      <c r="N1017" s="136"/>
      <c r="O1017" s="136"/>
      <c r="P1017" s="136"/>
      <c r="Q1017" s="136"/>
      <c r="R1017" s="136"/>
      <c r="S1017" s="136"/>
    </row>
    <row r="1018" spans="1:19" ht="19.5">
      <c r="A1018" s="136"/>
      <c r="B1018" s="143"/>
      <c r="C1018" s="143"/>
      <c r="D1018" s="143"/>
      <c r="E1018" s="143"/>
      <c r="F1018" s="143"/>
      <c r="G1018" s="143"/>
      <c r="H1018" s="136"/>
      <c r="I1018" s="136"/>
      <c r="J1018" s="136"/>
      <c r="K1018" s="136"/>
      <c r="L1018" s="136"/>
      <c r="M1018" s="136"/>
      <c r="N1018" s="136"/>
      <c r="O1018" s="136"/>
      <c r="P1018" s="136"/>
      <c r="Q1018" s="136"/>
      <c r="R1018" s="136"/>
      <c r="S1018" s="136"/>
    </row>
    <row r="1019" spans="1:19" ht="19.5">
      <c r="A1019" s="136"/>
      <c r="B1019" s="143"/>
      <c r="C1019" s="143"/>
      <c r="D1019" s="143"/>
      <c r="E1019" s="143"/>
      <c r="F1019" s="143"/>
      <c r="G1019" s="143"/>
      <c r="H1019" s="136"/>
      <c r="I1019" s="136"/>
      <c r="J1019" s="136"/>
      <c r="K1019" s="136"/>
      <c r="L1019" s="136"/>
      <c r="M1019" s="136"/>
      <c r="N1019" s="136"/>
      <c r="O1019" s="136"/>
      <c r="P1019" s="136"/>
      <c r="Q1019" s="136"/>
      <c r="R1019" s="136"/>
      <c r="S1019" s="136"/>
    </row>
    <row r="1020" spans="1:19" ht="19.5">
      <c r="A1020" s="136"/>
      <c r="B1020" s="143"/>
      <c r="C1020" s="143"/>
      <c r="D1020" s="143"/>
      <c r="E1020" s="143"/>
      <c r="F1020" s="143"/>
      <c r="G1020" s="143"/>
      <c r="H1020" s="136"/>
      <c r="I1020" s="136"/>
      <c r="J1020" s="136"/>
      <c r="K1020" s="136"/>
      <c r="L1020" s="136"/>
      <c r="M1020" s="136"/>
      <c r="N1020" s="136"/>
      <c r="O1020" s="136"/>
      <c r="P1020" s="136"/>
      <c r="Q1020" s="136"/>
      <c r="R1020" s="136"/>
      <c r="S1020" s="136"/>
    </row>
    <row r="1021" spans="1:19" ht="19.5">
      <c r="A1021" s="136"/>
      <c r="B1021" s="143"/>
      <c r="C1021" s="143"/>
      <c r="D1021" s="143"/>
      <c r="E1021" s="143"/>
      <c r="F1021" s="143"/>
      <c r="G1021" s="143"/>
      <c r="H1021" s="136"/>
      <c r="I1021" s="136"/>
      <c r="J1021" s="136"/>
      <c r="K1021" s="136"/>
      <c r="L1021" s="136"/>
      <c r="M1021" s="136"/>
      <c r="N1021" s="136"/>
      <c r="O1021" s="136"/>
      <c r="P1021" s="136"/>
      <c r="Q1021" s="136"/>
      <c r="R1021" s="136"/>
      <c r="S1021" s="136"/>
    </row>
    <row r="1022" spans="1:19" ht="19.5">
      <c r="A1022" s="136"/>
      <c r="B1022" s="143"/>
      <c r="C1022" s="143"/>
      <c r="D1022" s="143"/>
      <c r="E1022" s="143"/>
      <c r="F1022" s="143"/>
      <c r="G1022" s="143"/>
      <c r="H1022" s="136"/>
      <c r="I1022" s="136"/>
      <c r="J1022" s="136"/>
      <c r="K1022" s="136"/>
      <c r="L1022" s="136"/>
      <c r="M1022" s="136"/>
      <c r="N1022" s="136"/>
      <c r="O1022" s="136"/>
      <c r="P1022" s="136"/>
      <c r="Q1022" s="136"/>
      <c r="R1022" s="136"/>
      <c r="S1022" s="136"/>
    </row>
    <row r="1023" spans="1:19" ht="19.5">
      <c r="A1023" s="136"/>
      <c r="B1023" s="143"/>
      <c r="C1023" s="143"/>
      <c r="D1023" s="143"/>
      <c r="E1023" s="143"/>
      <c r="F1023" s="143"/>
      <c r="G1023" s="143"/>
      <c r="H1023" s="136"/>
      <c r="I1023" s="136"/>
      <c r="J1023" s="136"/>
      <c r="K1023" s="136"/>
      <c r="L1023" s="136"/>
      <c r="M1023" s="136"/>
      <c r="N1023" s="136"/>
      <c r="O1023" s="136"/>
      <c r="P1023" s="136"/>
      <c r="Q1023" s="136"/>
      <c r="R1023" s="136"/>
      <c r="S1023" s="136"/>
    </row>
    <row r="1024" spans="1:19" ht="19.5">
      <c r="A1024" s="136"/>
      <c r="B1024" s="143"/>
      <c r="C1024" s="143"/>
      <c r="D1024" s="143"/>
      <c r="E1024" s="143"/>
      <c r="F1024" s="143"/>
      <c r="G1024" s="143"/>
      <c r="H1024" s="136"/>
      <c r="I1024" s="136"/>
      <c r="J1024" s="136"/>
      <c r="K1024" s="136"/>
      <c r="L1024" s="136"/>
      <c r="M1024" s="136"/>
      <c r="N1024" s="136"/>
      <c r="O1024" s="136"/>
      <c r="P1024" s="136"/>
      <c r="Q1024" s="136"/>
      <c r="R1024" s="136"/>
      <c r="S1024" s="136"/>
    </row>
    <row r="1025" spans="1:19" ht="19.5">
      <c r="A1025" s="136"/>
      <c r="B1025" s="143"/>
      <c r="C1025" s="143"/>
      <c r="D1025" s="143"/>
      <c r="E1025" s="143"/>
      <c r="F1025" s="143"/>
      <c r="G1025" s="143"/>
      <c r="H1025" s="136"/>
      <c r="I1025" s="136"/>
      <c r="J1025" s="136"/>
      <c r="K1025" s="136"/>
      <c r="L1025" s="136"/>
      <c r="M1025" s="136"/>
      <c r="N1025" s="136"/>
      <c r="O1025" s="136"/>
      <c r="P1025" s="136"/>
      <c r="Q1025" s="136"/>
      <c r="R1025" s="136"/>
      <c r="S1025" s="136"/>
    </row>
    <row r="1026" spans="1:19" ht="19.5">
      <c r="A1026" s="136"/>
      <c r="B1026" s="143"/>
      <c r="C1026" s="143"/>
      <c r="D1026" s="143"/>
      <c r="E1026" s="143"/>
      <c r="F1026" s="143"/>
      <c r="G1026" s="143"/>
      <c r="H1026" s="136"/>
      <c r="I1026" s="136"/>
      <c r="J1026" s="136"/>
      <c r="K1026" s="136"/>
      <c r="L1026" s="136"/>
      <c r="M1026" s="136"/>
      <c r="N1026" s="136"/>
      <c r="O1026" s="136"/>
      <c r="P1026" s="136"/>
      <c r="Q1026" s="136"/>
      <c r="R1026" s="136"/>
      <c r="S1026" s="136"/>
    </row>
    <row r="1027" spans="1:19" ht="19.5">
      <c r="A1027" s="136"/>
      <c r="B1027" s="143"/>
      <c r="C1027" s="143"/>
      <c r="D1027" s="143"/>
      <c r="E1027" s="143"/>
      <c r="F1027" s="143"/>
      <c r="G1027" s="143"/>
      <c r="H1027" s="136"/>
      <c r="I1027" s="136"/>
      <c r="J1027" s="136"/>
      <c r="K1027" s="136"/>
      <c r="L1027" s="136"/>
      <c r="M1027" s="136"/>
      <c r="N1027" s="136"/>
      <c r="O1027" s="136"/>
      <c r="P1027" s="136"/>
      <c r="Q1027" s="136"/>
      <c r="R1027" s="136"/>
      <c r="S1027" s="136"/>
    </row>
    <row r="1028" spans="1:19" ht="19.5">
      <c r="A1028" s="136"/>
      <c r="B1028" s="143"/>
      <c r="C1028" s="143"/>
      <c r="D1028" s="143"/>
      <c r="E1028" s="143"/>
      <c r="F1028" s="143"/>
      <c r="G1028" s="143"/>
      <c r="H1028" s="136"/>
      <c r="I1028" s="136"/>
      <c r="J1028" s="136"/>
      <c r="K1028" s="136"/>
      <c r="L1028" s="136"/>
      <c r="M1028" s="136"/>
      <c r="N1028" s="136"/>
      <c r="O1028" s="136"/>
      <c r="P1028" s="136"/>
      <c r="Q1028" s="136"/>
      <c r="R1028" s="136"/>
      <c r="S1028" s="136"/>
    </row>
    <row r="1029" spans="1:19" ht="19.5">
      <c r="A1029" s="136"/>
      <c r="B1029" s="143"/>
      <c r="C1029" s="143"/>
      <c r="D1029" s="143"/>
      <c r="E1029" s="143"/>
      <c r="F1029" s="143"/>
      <c r="G1029" s="143"/>
      <c r="H1029" s="136"/>
      <c r="I1029" s="136"/>
      <c r="J1029" s="136"/>
      <c r="K1029" s="136"/>
      <c r="L1029" s="136"/>
      <c r="M1029" s="136"/>
      <c r="N1029" s="136"/>
      <c r="O1029" s="136"/>
      <c r="P1029" s="136"/>
      <c r="Q1029" s="136"/>
      <c r="R1029" s="136"/>
      <c r="S1029" s="136"/>
    </row>
    <row r="1030" spans="1:19" ht="19.5">
      <c r="A1030" s="136"/>
      <c r="B1030" s="143"/>
      <c r="C1030" s="143"/>
      <c r="D1030" s="143"/>
      <c r="E1030" s="143"/>
      <c r="F1030" s="143"/>
      <c r="G1030" s="143"/>
      <c r="H1030" s="136"/>
      <c r="I1030" s="136"/>
      <c r="J1030" s="136"/>
      <c r="K1030" s="136"/>
      <c r="L1030" s="136"/>
      <c r="M1030" s="136"/>
      <c r="N1030" s="136"/>
      <c r="O1030" s="136"/>
      <c r="P1030" s="136"/>
      <c r="Q1030" s="136"/>
      <c r="R1030" s="136"/>
      <c r="S1030" s="136"/>
    </row>
    <row r="1031" spans="1:19" ht="19.5">
      <c r="A1031" s="136"/>
      <c r="B1031" s="143"/>
      <c r="C1031" s="143"/>
      <c r="D1031" s="143"/>
      <c r="E1031" s="143"/>
      <c r="F1031" s="143"/>
      <c r="G1031" s="143"/>
      <c r="H1031" s="136"/>
      <c r="I1031" s="136"/>
      <c r="J1031" s="136"/>
      <c r="K1031" s="136"/>
      <c r="L1031" s="136"/>
      <c r="M1031" s="136"/>
      <c r="N1031" s="136"/>
      <c r="O1031" s="136"/>
      <c r="P1031" s="136"/>
      <c r="Q1031" s="136"/>
      <c r="R1031" s="136"/>
      <c r="S1031" s="136"/>
    </row>
    <row r="1032" spans="1:19" ht="19.5">
      <c r="A1032" s="136"/>
      <c r="B1032" s="143"/>
      <c r="C1032" s="143"/>
      <c r="D1032" s="143"/>
      <c r="E1032" s="143"/>
      <c r="F1032" s="143"/>
      <c r="G1032" s="143"/>
      <c r="H1032" s="136"/>
      <c r="I1032" s="136"/>
      <c r="J1032" s="136"/>
      <c r="K1032" s="136"/>
      <c r="L1032" s="136"/>
      <c r="M1032" s="136"/>
      <c r="N1032" s="136"/>
      <c r="O1032" s="136"/>
      <c r="P1032" s="136"/>
      <c r="Q1032" s="136"/>
      <c r="R1032" s="136"/>
      <c r="S1032" s="136"/>
    </row>
  </sheetData>
  <autoFilter ref="B6:R33" xr:uid="{00000000-0009-0000-0000-000002000000}"/>
  <mergeCells count="1">
    <mergeCell ref="B2:G2"/>
  </mergeCells>
  <conditionalFormatting sqref="C7:C12 F7:G12 C14:C15 F14:G15 C17:C29 F17:G29">
    <cfRule type="containsText" dxfId="24" priority="1" operator="containsText" text="Completed">
      <formula>NOT(ISERROR(SEARCH(("Completed"),(C7))))</formula>
    </cfRule>
    <cfRule type="containsText" dxfId="23" priority="2" operator="containsText" text="Confirmed">
      <formula>NOT(ISERROR(SEARCH(("Confirmed"),(C7))))</formula>
    </cfRule>
    <cfRule type="containsText" dxfId="22" priority="3" operator="containsText" text="Pending">
      <formula>NOT(ISERROR(SEARCH(("Pending"),(C7))))</formula>
    </cfRule>
    <cfRule type="containsText" dxfId="21" priority="4" operator="containsText" text="Rescheduled">
      <formula>NOT(ISERROR(SEARCH(("Rescheduled"),(C7))))</formula>
    </cfRule>
    <cfRule type="containsText" dxfId="20" priority="5" operator="containsText" text="Canceled">
      <formula>NOT(ISERROR(SEARCH(("Canceled"),(C7))))</formula>
    </cfRule>
  </conditionalFormatting>
  <dataValidations count="3">
    <dataValidation type="list" allowBlank="1" showErrorMessage="1" sqref="G7:G12 G14:G15 G17:G29" xr:uid="{00000000-0002-0000-0200-000000000000}">
      <formula1>"Lovish,Marcelo,Jerad,TBD"</formula1>
    </dataValidation>
    <dataValidation type="list" allowBlank="1" showErrorMessage="1" sqref="B32:B42" xr:uid="{00000000-0002-0000-0200-000001000000}">
      <formula1>"Rescheduled,Canceled"</formula1>
    </dataValidation>
    <dataValidation type="list" allowBlank="1" sqref="C7:C12 C14:C15 C17:C29" xr:uid="{00000000-0002-0000-0200-000002000000}">
      <formula1>"Completed,Confirmed,Pending,Rescheduled,Canceled"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S1033"/>
  <sheetViews>
    <sheetView showGridLines="0" workbookViewId="0">
      <pane ySplit="6" topLeftCell="A7" activePane="bottomLeft" state="frozen"/>
      <selection pane="bottomLeft" activeCell="B8" sqref="B8"/>
    </sheetView>
  </sheetViews>
  <sheetFormatPr defaultColWidth="12.5703125" defaultRowHeight="15.75" customHeight="1"/>
  <cols>
    <col min="1" max="1" width="2.85546875" customWidth="1"/>
    <col min="2" max="2" width="22.7109375" customWidth="1"/>
    <col min="3" max="3" width="15.5703125" customWidth="1"/>
    <col min="4" max="6" width="22.5703125" customWidth="1"/>
    <col min="7" max="7" width="20.42578125" customWidth="1"/>
    <col min="8" max="9" width="13.42578125" customWidth="1"/>
    <col min="10" max="11" width="15.140625" customWidth="1"/>
    <col min="12" max="12" width="23" customWidth="1"/>
    <col min="13" max="13" width="32.5703125" customWidth="1"/>
    <col min="14" max="16" width="19.5703125" customWidth="1"/>
    <col min="17" max="18" width="35.5703125" customWidth="1"/>
    <col min="19" max="19" width="2.85546875" customWidth="1"/>
  </cols>
  <sheetData>
    <row r="1" spans="1:19" ht="21.75" customHeight="1">
      <c r="A1" s="4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</row>
    <row r="2" spans="1:19" ht="36" customHeight="1">
      <c r="A2" s="50"/>
      <c r="B2" s="264" t="s">
        <v>185</v>
      </c>
      <c r="C2" s="265"/>
      <c r="D2" s="265"/>
      <c r="E2" s="265"/>
      <c r="F2" s="265"/>
      <c r="G2" s="265"/>
      <c r="H2" s="79"/>
      <c r="I2" s="144"/>
      <c r="J2" s="80"/>
      <c r="K2" s="80"/>
      <c r="L2" s="81"/>
      <c r="M2" s="81"/>
      <c r="N2" s="81"/>
      <c r="O2" s="81"/>
      <c r="P2" s="81"/>
      <c r="Q2" s="82"/>
      <c r="R2" s="83"/>
      <c r="S2" s="78"/>
    </row>
    <row r="3" spans="1:19" ht="23.25">
      <c r="A3" s="84"/>
      <c r="B3" s="85"/>
      <c r="C3" s="86"/>
      <c r="D3" s="86"/>
      <c r="E3" s="86"/>
      <c r="F3" s="86"/>
      <c r="G3" s="86"/>
      <c r="H3" s="86"/>
      <c r="I3" s="86"/>
      <c r="J3" s="87"/>
      <c r="K3" s="87"/>
      <c r="L3" s="86"/>
      <c r="M3" s="86"/>
      <c r="N3" s="86"/>
      <c r="O3" s="86"/>
      <c r="P3" s="86"/>
      <c r="Q3" s="57"/>
      <c r="R3" s="57"/>
      <c r="S3" s="57"/>
    </row>
    <row r="4" spans="1:19" ht="24.75" customHeight="1">
      <c r="A4" s="88"/>
      <c r="B4" s="89" t="s">
        <v>186</v>
      </c>
      <c r="C4" s="90" t="s">
        <v>14</v>
      </c>
      <c r="D4" s="90"/>
      <c r="E4" s="90"/>
      <c r="F4" s="90"/>
      <c r="G4" s="91" t="s">
        <v>187</v>
      </c>
      <c r="H4" s="92" t="s">
        <v>6</v>
      </c>
      <c r="I4" s="145" t="s">
        <v>226</v>
      </c>
      <c r="J4" s="93" t="s">
        <v>188</v>
      </c>
      <c r="K4" s="94" t="s">
        <v>189</v>
      </c>
      <c r="L4" s="95" t="s">
        <v>190</v>
      </c>
      <c r="M4" s="86"/>
      <c r="N4" s="86"/>
      <c r="O4" s="86"/>
      <c r="P4" s="86"/>
      <c r="Q4" s="57"/>
      <c r="R4" s="57"/>
      <c r="S4" s="57"/>
    </row>
    <row r="5" spans="1:19" ht="23.25">
      <c r="A5" s="84"/>
      <c r="B5" s="85"/>
      <c r="C5" s="86"/>
      <c r="D5" s="86"/>
      <c r="E5" s="86"/>
      <c r="F5" s="86"/>
      <c r="G5" s="86"/>
      <c r="H5" s="86"/>
      <c r="I5" s="86"/>
      <c r="J5" s="87"/>
      <c r="K5" s="87"/>
      <c r="L5" s="86"/>
      <c r="M5" s="86"/>
      <c r="N5" s="86"/>
      <c r="O5" s="86"/>
      <c r="P5" s="86"/>
      <c r="Q5" s="57"/>
      <c r="R5" s="57"/>
      <c r="S5" s="57"/>
    </row>
    <row r="6" spans="1:19" ht="52.5" customHeight="1">
      <c r="A6" s="88"/>
      <c r="B6" s="96" t="s">
        <v>191</v>
      </c>
      <c r="C6" s="97" t="s">
        <v>192</v>
      </c>
      <c r="D6" s="97" t="s">
        <v>193</v>
      </c>
      <c r="E6" s="97" t="s">
        <v>194</v>
      </c>
      <c r="F6" s="97" t="s">
        <v>195</v>
      </c>
      <c r="G6" s="97" t="s">
        <v>196</v>
      </c>
      <c r="H6" s="98" t="s">
        <v>198</v>
      </c>
      <c r="I6" s="98" t="s">
        <v>197</v>
      </c>
      <c r="J6" s="99" t="s">
        <v>199</v>
      </c>
      <c r="K6" s="99" t="s">
        <v>200</v>
      </c>
      <c r="L6" s="98" t="s">
        <v>55</v>
      </c>
      <c r="M6" s="98" t="s">
        <v>56</v>
      </c>
      <c r="N6" s="98" t="s">
        <v>57</v>
      </c>
      <c r="O6" s="98" t="s">
        <v>201</v>
      </c>
      <c r="P6" s="98" t="s">
        <v>202</v>
      </c>
      <c r="Q6" s="100" t="s">
        <v>203</v>
      </c>
      <c r="R6" s="100" t="s">
        <v>63</v>
      </c>
      <c r="S6" s="57"/>
    </row>
    <row r="7" spans="1:19" ht="19.5">
      <c r="A7" s="101"/>
      <c r="B7" s="104" t="s">
        <v>209</v>
      </c>
      <c r="C7" s="104" t="s">
        <v>6</v>
      </c>
      <c r="D7" s="104" t="b">
        <v>1</v>
      </c>
      <c r="E7" s="104" t="b">
        <v>1</v>
      </c>
      <c r="F7" s="146" t="s">
        <v>14</v>
      </c>
      <c r="G7" s="103" t="s">
        <v>210</v>
      </c>
      <c r="H7" s="103" t="s">
        <v>206</v>
      </c>
      <c r="I7" s="147">
        <v>45372</v>
      </c>
      <c r="J7" s="107">
        <v>0.54166666666666663</v>
      </c>
      <c r="K7" s="107">
        <v>0.625</v>
      </c>
      <c r="L7" s="131" t="s">
        <v>144</v>
      </c>
      <c r="M7" s="108" t="s">
        <v>145</v>
      </c>
      <c r="N7" s="108" t="s">
        <v>68</v>
      </c>
      <c r="O7" s="103" t="s">
        <v>146</v>
      </c>
      <c r="P7" s="148" t="s">
        <v>147</v>
      </c>
      <c r="Q7" s="149" t="s">
        <v>148</v>
      </c>
      <c r="R7" s="103"/>
      <c r="S7" s="109"/>
    </row>
    <row r="8" spans="1:19" ht="19.5">
      <c r="A8" s="101"/>
      <c r="B8" s="104" t="s">
        <v>209</v>
      </c>
      <c r="C8" s="104" t="s">
        <v>6</v>
      </c>
      <c r="D8" s="104" t="b">
        <v>1</v>
      </c>
      <c r="E8" s="104" t="b">
        <v>1</v>
      </c>
      <c r="F8" s="146" t="s">
        <v>14</v>
      </c>
      <c r="G8" s="103" t="s">
        <v>210</v>
      </c>
      <c r="H8" s="103" t="s">
        <v>206</v>
      </c>
      <c r="I8" s="147">
        <v>45372</v>
      </c>
      <c r="J8" s="107">
        <v>0.6875</v>
      </c>
      <c r="K8" s="107">
        <v>0.77083333333333337</v>
      </c>
      <c r="L8" s="108" t="s">
        <v>236</v>
      </c>
      <c r="M8" s="108" t="s">
        <v>134</v>
      </c>
      <c r="N8" s="108" t="s">
        <v>68</v>
      </c>
      <c r="O8" s="103" t="s">
        <v>135</v>
      </c>
      <c r="P8" s="103" t="s">
        <v>136</v>
      </c>
      <c r="Q8" s="67" t="s">
        <v>137</v>
      </c>
      <c r="R8" s="103"/>
      <c r="S8" s="109"/>
    </row>
    <row r="9" spans="1:19" ht="19.5">
      <c r="A9" s="101"/>
      <c r="B9" s="104" t="s">
        <v>209</v>
      </c>
      <c r="C9" s="104" t="s">
        <v>6</v>
      </c>
      <c r="D9" s="104" t="b">
        <v>1</v>
      </c>
      <c r="E9" s="104" t="b">
        <v>1</v>
      </c>
      <c r="F9" s="146" t="s">
        <v>14</v>
      </c>
      <c r="G9" s="103" t="s">
        <v>210</v>
      </c>
      <c r="H9" s="103" t="s">
        <v>212</v>
      </c>
      <c r="I9" s="147">
        <v>45374</v>
      </c>
      <c r="J9" s="150">
        <v>0.45833333333333331</v>
      </c>
      <c r="K9" s="107">
        <v>0.54166666666666663</v>
      </c>
      <c r="L9" s="108" t="s">
        <v>149</v>
      </c>
      <c r="M9" s="130" t="s">
        <v>237</v>
      </c>
      <c r="N9" s="108" t="s">
        <v>68</v>
      </c>
      <c r="O9" s="103" t="s">
        <v>151</v>
      </c>
      <c r="P9" s="67" t="s">
        <v>152</v>
      </c>
      <c r="Q9" s="103"/>
      <c r="R9" s="103"/>
      <c r="S9" s="109"/>
    </row>
    <row r="10" spans="1:19" ht="19.5">
      <c r="A10" s="101"/>
      <c r="B10" s="104" t="s">
        <v>204</v>
      </c>
      <c r="C10" s="104" t="s">
        <v>6</v>
      </c>
      <c r="D10" s="104" t="b">
        <v>1</v>
      </c>
      <c r="E10" s="104" t="b">
        <v>1</v>
      </c>
      <c r="F10" s="146" t="s">
        <v>14</v>
      </c>
      <c r="G10" s="103" t="s">
        <v>210</v>
      </c>
      <c r="H10" s="103" t="s">
        <v>212</v>
      </c>
      <c r="I10" s="147">
        <v>45374</v>
      </c>
      <c r="J10" s="107">
        <v>0.60416666666666663</v>
      </c>
      <c r="K10" s="107">
        <v>0.6875</v>
      </c>
      <c r="L10" s="108" t="s">
        <v>157</v>
      </c>
      <c r="M10" s="66" t="s">
        <v>158</v>
      </c>
      <c r="N10" s="34" t="s">
        <v>68</v>
      </c>
      <c r="O10" s="35" t="s">
        <v>135</v>
      </c>
      <c r="P10" s="35" t="s">
        <v>159</v>
      </c>
      <c r="Q10" s="103"/>
      <c r="R10" s="103"/>
      <c r="S10" s="109"/>
    </row>
    <row r="11" spans="1:19" ht="19.5">
      <c r="A11" s="101"/>
      <c r="B11" s="104" t="s">
        <v>210</v>
      </c>
      <c r="C11" s="104" t="s">
        <v>6</v>
      </c>
      <c r="D11" s="104" t="b">
        <v>1</v>
      </c>
      <c r="E11" s="104" t="b">
        <v>1</v>
      </c>
      <c r="F11" s="146" t="s">
        <v>14</v>
      </c>
      <c r="G11" s="103" t="s">
        <v>210</v>
      </c>
      <c r="H11" s="103" t="s">
        <v>238</v>
      </c>
      <c r="I11" s="147">
        <v>45375</v>
      </c>
      <c r="J11" s="107">
        <v>0.54166666666666663</v>
      </c>
      <c r="K11" s="107">
        <v>0.625</v>
      </c>
      <c r="L11" s="108" t="s">
        <v>239</v>
      </c>
      <c r="M11" s="71" t="s">
        <v>154</v>
      </c>
      <c r="N11" s="34" t="s">
        <v>68</v>
      </c>
      <c r="O11" s="35" t="s">
        <v>155</v>
      </c>
      <c r="P11" s="35" t="s">
        <v>156</v>
      </c>
      <c r="Q11" s="35"/>
      <c r="R11" s="35"/>
      <c r="S11" s="109"/>
    </row>
    <row r="12" spans="1:19" ht="19.5">
      <c r="A12" s="101"/>
      <c r="B12" s="121" t="s">
        <v>204</v>
      </c>
      <c r="C12" s="104" t="s">
        <v>6</v>
      </c>
      <c r="D12" s="104" t="b">
        <v>1</v>
      </c>
      <c r="E12" s="104" t="b">
        <v>1</v>
      </c>
      <c r="F12" s="146" t="s">
        <v>14</v>
      </c>
      <c r="G12" s="122" t="s">
        <v>210</v>
      </c>
      <c r="H12" s="103" t="s">
        <v>216</v>
      </c>
      <c r="I12" s="147">
        <v>45375</v>
      </c>
      <c r="J12" s="107">
        <v>0.6875</v>
      </c>
      <c r="K12" s="107">
        <v>0.77083333333333337</v>
      </c>
      <c r="L12" s="108" t="s">
        <v>240</v>
      </c>
      <c r="M12" s="68" t="s">
        <v>162</v>
      </c>
      <c r="N12" s="151" t="s">
        <v>68</v>
      </c>
      <c r="O12" s="23" t="s">
        <v>163</v>
      </c>
      <c r="P12" s="23" t="s">
        <v>164</v>
      </c>
      <c r="Q12" s="35" t="s">
        <v>241</v>
      </c>
      <c r="R12" s="103"/>
      <c r="S12" s="109"/>
    </row>
    <row r="13" spans="1:19" ht="8.25" customHeight="1">
      <c r="A13" s="101"/>
      <c r="B13" s="111"/>
      <c r="C13" s="111"/>
      <c r="D13" s="111"/>
      <c r="E13" s="111"/>
      <c r="F13" s="111"/>
      <c r="G13" s="111"/>
      <c r="H13" s="111"/>
      <c r="I13" s="112"/>
      <c r="J13" s="113"/>
      <c r="K13" s="114"/>
      <c r="L13" s="115"/>
      <c r="M13" s="116"/>
      <c r="N13" s="117"/>
      <c r="O13" s="118"/>
      <c r="P13" s="119"/>
      <c r="Q13" s="119"/>
      <c r="R13" s="120"/>
      <c r="S13" s="109"/>
    </row>
    <row r="14" spans="1:19" ht="19.5">
      <c r="A14" s="101"/>
      <c r="B14" s="102" t="s">
        <v>242</v>
      </c>
      <c r="C14" s="103" t="s">
        <v>6</v>
      </c>
      <c r="D14" s="152" t="b">
        <v>1</v>
      </c>
      <c r="E14" s="152" t="b">
        <v>1</v>
      </c>
      <c r="F14" s="146" t="s">
        <v>14</v>
      </c>
      <c r="G14" s="122" t="s">
        <v>220</v>
      </c>
      <c r="H14" s="122" t="s">
        <v>206</v>
      </c>
      <c r="I14" s="153">
        <v>45379</v>
      </c>
      <c r="J14" s="124">
        <v>0.625</v>
      </c>
      <c r="K14" s="132">
        <v>0.70833333333333337</v>
      </c>
      <c r="L14" s="129" t="s">
        <v>166</v>
      </c>
      <c r="M14" s="68" t="s">
        <v>167</v>
      </c>
      <c r="N14" s="151" t="s">
        <v>68</v>
      </c>
      <c r="O14" s="67" t="s">
        <v>168</v>
      </c>
      <c r="P14" s="23" t="s">
        <v>169</v>
      </c>
      <c r="Q14" s="35" t="s">
        <v>170</v>
      </c>
      <c r="R14" s="103" t="s">
        <v>243</v>
      </c>
      <c r="S14" s="109"/>
    </row>
    <row r="15" spans="1:19" ht="19.5">
      <c r="A15" s="101"/>
      <c r="B15" s="102" t="s">
        <v>244</v>
      </c>
      <c r="C15" s="103" t="s">
        <v>6</v>
      </c>
      <c r="D15" s="152" t="b">
        <v>1</v>
      </c>
      <c r="E15" s="152" t="b">
        <v>1</v>
      </c>
      <c r="F15" s="146" t="s">
        <v>14</v>
      </c>
      <c r="G15" s="122" t="s">
        <v>220</v>
      </c>
      <c r="H15" s="103" t="s">
        <v>206</v>
      </c>
      <c r="I15" s="147">
        <v>45379</v>
      </c>
      <c r="J15" s="124">
        <v>0.77083333333333337</v>
      </c>
      <c r="K15" s="124">
        <v>0.85416666666666663</v>
      </c>
      <c r="L15" s="129" t="s">
        <v>245</v>
      </c>
      <c r="M15" s="66" t="s">
        <v>176</v>
      </c>
      <c r="N15" s="151" t="s">
        <v>68</v>
      </c>
      <c r="O15" s="103" t="s">
        <v>177</v>
      </c>
      <c r="P15" s="67" t="s">
        <v>178</v>
      </c>
      <c r="Q15" s="103"/>
      <c r="R15" s="103" t="s">
        <v>246</v>
      </c>
      <c r="S15" s="109"/>
    </row>
    <row r="16" spans="1:19" ht="19.5">
      <c r="A16" s="101"/>
      <c r="B16" s="102" t="s">
        <v>204</v>
      </c>
      <c r="C16" s="103" t="s">
        <v>6</v>
      </c>
      <c r="D16" s="152" t="b">
        <v>1</v>
      </c>
      <c r="E16" s="152" t="b">
        <v>1</v>
      </c>
      <c r="F16" s="146" t="s">
        <v>14</v>
      </c>
      <c r="G16" s="122" t="s">
        <v>205</v>
      </c>
      <c r="H16" s="103" t="s">
        <v>208</v>
      </c>
      <c r="I16" s="147">
        <v>45380</v>
      </c>
      <c r="J16" s="107">
        <v>0.79166666666666663</v>
      </c>
      <c r="K16" s="107">
        <v>0.875</v>
      </c>
      <c r="L16" s="108" t="s">
        <v>171</v>
      </c>
      <c r="M16" s="68" t="s">
        <v>172</v>
      </c>
      <c r="N16" s="151" t="s">
        <v>68</v>
      </c>
      <c r="O16" s="103" t="s">
        <v>173</v>
      </c>
      <c r="P16" s="23" t="s">
        <v>174</v>
      </c>
      <c r="Q16" s="103"/>
      <c r="R16" s="103" t="s">
        <v>246</v>
      </c>
      <c r="S16" s="109"/>
    </row>
    <row r="17" spans="1:19" ht="39">
      <c r="A17" s="101"/>
      <c r="B17" s="104" t="s">
        <v>210</v>
      </c>
      <c r="C17" s="103" t="s">
        <v>6</v>
      </c>
      <c r="D17" s="104" t="b">
        <v>1</v>
      </c>
      <c r="E17" s="104" t="b">
        <v>0</v>
      </c>
      <c r="F17" s="146" t="s">
        <v>14</v>
      </c>
      <c r="G17" s="122" t="s">
        <v>205</v>
      </c>
      <c r="H17" s="122" t="s">
        <v>208</v>
      </c>
      <c r="I17" s="153">
        <v>45380</v>
      </c>
      <c r="J17" s="124">
        <v>0.64583333333333337</v>
      </c>
      <c r="K17" s="124">
        <v>0.72916666666666663</v>
      </c>
      <c r="L17" s="108" t="s">
        <v>247</v>
      </c>
      <c r="M17" s="69" t="s">
        <v>140</v>
      </c>
      <c r="N17" s="130" t="s">
        <v>68</v>
      </c>
      <c r="O17" s="67" t="s">
        <v>141</v>
      </c>
      <c r="P17" s="67" t="s">
        <v>142</v>
      </c>
      <c r="Q17" s="67" t="s">
        <v>248</v>
      </c>
      <c r="R17" s="103" t="s">
        <v>249</v>
      </c>
      <c r="S17" s="109"/>
    </row>
    <row r="18" spans="1:19" ht="8.25" customHeight="1">
      <c r="A18" s="101"/>
      <c r="B18" s="111"/>
      <c r="C18" s="111"/>
      <c r="D18" s="111"/>
      <c r="E18" s="111"/>
      <c r="F18" s="111"/>
      <c r="G18" s="111"/>
      <c r="H18" s="111"/>
      <c r="I18" s="112"/>
      <c r="J18" s="113"/>
      <c r="K18" s="114"/>
      <c r="L18" s="115"/>
      <c r="M18" s="116"/>
      <c r="N18" s="117"/>
      <c r="O18" s="118"/>
      <c r="P18" s="119"/>
      <c r="Q18" s="119"/>
      <c r="R18" s="120"/>
      <c r="S18" s="109"/>
    </row>
    <row r="19" spans="1:19" ht="19.5">
      <c r="A19" s="101"/>
      <c r="B19" s="102" t="s">
        <v>225</v>
      </c>
      <c r="C19" s="103" t="s">
        <v>6</v>
      </c>
      <c r="D19" s="104" t="b">
        <v>1</v>
      </c>
      <c r="E19" s="103" t="b">
        <v>1</v>
      </c>
      <c r="F19" s="146" t="s">
        <v>14</v>
      </c>
      <c r="G19" s="125" t="s">
        <v>220</v>
      </c>
      <c r="H19" s="103" t="s">
        <v>212</v>
      </c>
      <c r="I19" s="147">
        <v>45388</v>
      </c>
      <c r="J19" s="107">
        <v>0.58333333333333337</v>
      </c>
      <c r="K19" s="107">
        <v>0.66666666666666663</v>
      </c>
      <c r="L19" s="108" t="s">
        <v>181</v>
      </c>
      <c r="M19" s="71" t="s">
        <v>182</v>
      </c>
      <c r="N19" s="151" t="s">
        <v>68</v>
      </c>
      <c r="O19" s="64" t="s">
        <v>146</v>
      </c>
      <c r="P19" s="64" t="s">
        <v>147</v>
      </c>
      <c r="Q19" s="103"/>
      <c r="R19" s="103"/>
      <c r="S19" s="109"/>
    </row>
    <row r="20" spans="1:19" ht="19.5">
      <c r="A20" s="101"/>
      <c r="B20" s="102" t="s">
        <v>225</v>
      </c>
      <c r="C20" s="103" t="s">
        <v>6</v>
      </c>
      <c r="D20" s="104" t="b">
        <v>1</v>
      </c>
      <c r="E20" s="103" t="b">
        <v>1</v>
      </c>
      <c r="F20" s="146" t="s">
        <v>14</v>
      </c>
      <c r="G20" s="125" t="s">
        <v>220</v>
      </c>
      <c r="H20" s="103" t="s">
        <v>212</v>
      </c>
      <c r="I20" s="147">
        <v>45388</v>
      </c>
      <c r="J20" s="107">
        <v>0.72916666666666663</v>
      </c>
      <c r="K20" s="107">
        <v>0.8125</v>
      </c>
      <c r="L20" s="108" t="s">
        <v>250</v>
      </c>
      <c r="M20" s="71" t="s">
        <v>180</v>
      </c>
      <c r="N20" s="151" t="s">
        <v>68</v>
      </c>
      <c r="O20" s="64" t="s">
        <v>135</v>
      </c>
      <c r="P20" s="64" t="s">
        <v>136</v>
      </c>
      <c r="Q20" s="103"/>
      <c r="R20" s="103"/>
      <c r="S20" s="109"/>
    </row>
    <row r="21" spans="1:19" ht="19.5">
      <c r="A21" s="101"/>
      <c r="B21" s="102"/>
      <c r="C21" s="103"/>
      <c r="D21" s="104" t="b">
        <v>0</v>
      </c>
      <c r="E21" s="103" t="b">
        <v>0</v>
      </c>
      <c r="F21" s="146"/>
      <c r="G21" s="125"/>
      <c r="H21" s="103"/>
      <c r="I21" s="147"/>
      <c r="J21" s="107"/>
      <c r="K21" s="107"/>
      <c r="L21" s="108"/>
      <c r="M21" s="66"/>
      <c r="N21" s="154"/>
      <c r="O21" s="67"/>
      <c r="P21" s="67"/>
      <c r="Q21" s="103"/>
      <c r="R21" s="103"/>
      <c r="S21" s="109"/>
    </row>
    <row r="22" spans="1:19" ht="19.5">
      <c r="A22" s="101"/>
      <c r="B22" s="102"/>
      <c r="C22" s="103"/>
      <c r="D22" s="104" t="b">
        <v>0</v>
      </c>
      <c r="E22" s="103" t="b">
        <v>0</v>
      </c>
      <c r="F22" s="146"/>
      <c r="G22" s="125"/>
      <c r="H22" s="103"/>
      <c r="I22" s="147"/>
      <c r="J22" s="127"/>
      <c r="K22" s="107"/>
      <c r="L22" s="108"/>
      <c r="M22" s="73"/>
      <c r="N22" s="108"/>
      <c r="O22" s="64"/>
      <c r="P22" s="64"/>
      <c r="Q22" s="103"/>
      <c r="R22" s="103"/>
      <c r="S22" s="109"/>
    </row>
    <row r="23" spans="1:19" ht="19.5">
      <c r="A23" s="101"/>
      <c r="B23" s="102"/>
      <c r="C23" s="103"/>
      <c r="D23" s="104" t="b">
        <v>0</v>
      </c>
      <c r="E23" s="103" t="b">
        <v>0</v>
      </c>
      <c r="F23" s="146"/>
      <c r="G23" s="125"/>
      <c r="H23" s="103"/>
      <c r="I23" s="147"/>
      <c r="J23" s="107"/>
      <c r="K23" s="107"/>
      <c r="L23" s="108"/>
      <c r="M23" s="73"/>
      <c r="N23" s="108"/>
      <c r="O23" s="64"/>
      <c r="P23" s="64"/>
      <c r="Q23" s="103"/>
      <c r="R23" s="103"/>
      <c r="S23" s="109"/>
    </row>
    <row r="24" spans="1:19" ht="19.5">
      <c r="A24" s="101"/>
      <c r="B24" s="102"/>
      <c r="C24" s="103"/>
      <c r="D24" s="104" t="b">
        <v>0</v>
      </c>
      <c r="E24" s="103" t="b">
        <v>0</v>
      </c>
      <c r="F24" s="146"/>
      <c r="G24" s="125"/>
      <c r="H24" s="103"/>
      <c r="I24" s="147"/>
      <c r="J24" s="107"/>
      <c r="K24" s="107"/>
      <c r="L24" s="108"/>
      <c r="M24" s="70"/>
      <c r="N24" s="108"/>
      <c r="O24" s="67"/>
      <c r="P24" s="67"/>
      <c r="Q24" s="103"/>
      <c r="R24" s="103"/>
      <c r="S24" s="109"/>
    </row>
    <row r="25" spans="1:19" ht="19.5">
      <c r="A25" s="101"/>
      <c r="B25" s="102"/>
      <c r="C25" s="103"/>
      <c r="D25" s="104" t="b">
        <v>0</v>
      </c>
      <c r="E25" s="103" t="b">
        <v>0</v>
      </c>
      <c r="F25" s="146"/>
      <c r="G25" s="125"/>
      <c r="H25" s="103"/>
      <c r="I25" s="147"/>
      <c r="J25" s="107"/>
      <c r="K25" s="107"/>
      <c r="L25" s="108"/>
      <c r="M25" s="70"/>
      <c r="N25" s="130"/>
      <c r="O25" s="67"/>
      <c r="P25" s="67"/>
      <c r="Q25" s="103"/>
      <c r="R25" s="103"/>
      <c r="S25" s="109"/>
    </row>
    <row r="26" spans="1:19" ht="19.5">
      <c r="A26" s="101"/>
      <c r="B26" s="102"/>
      <c r="C26" s="103"/>
      <c r="D26" s="104" t="b">
        <v>0</v>
      </c>
      <c r="E26" s="103" t="b">
        <v>0</v>
      </c>
      <c r="F26" s="146"/>
      <c r="G26" s="125"/>
      <c r="H26" s="103"/>
      <c r="I26" s="147"/>
      <c r="J26" s="124"/>
      <c r="K26" s="124"/>
      <c r="L26" s="108"/>
      <c r="M26" s="108"/>
      <c r="N26" s="108"/>
      <c r="O26" s="103"/>
      <c r="P26" s="103"/>
      <c r="Q26" s="103"/>
      <c r="R26" s="103"/>
      <c r="S26" s="109"/>
    </row>
    <row r="27" spans="1:19" ht="19.5">
      <c r="A27" s="101"/>
      <c r="B27" s="102"/>
      <c r="C27" s="103"/>
      <c r="D27" s="104" t="b">
        <v>0</v>
      </c>
      <c r="E27" s="103" t="b">
        <v>0</v>
      </c>
      <c r="F27" s="146"/>
      <c r="G27" s="125"/>
      <c r="H27" s="103"/>
      <c r="I27" s="153"/>
      <c r="J27" s="132"/>
      <c r="K27" s="124"/>
      <c r="L27" s="108"/>
      <c r="M27" s="66"/>
      <c r="N27" s="66"/>
      <c r="O27" s="67"/>
      <c r="P27" s="67"/>
      <c r="Q27" s="103"/>
      <c r="R27" s="103"/>
      <c r="S27" s="109"/>
    </row>
    <row r="28" spans="1:19" ht="19.5">
      <c r="A28" s="101"/>
      <c r="B28" s="102"/>
      <c r="C28" s="103"/>
      <c r="D28" s="104" t="b">
        <v>0</v>
      </c>
      <c r="E28" s="103" t="b">
        <v>0</v>
      </c>
      <c r="F28" s="146"/>
      <c r="G28" s="105"/>
      <c r="H28" s="103"/>
      <c r="I28" s="147"/>
      <c r="J28" s="107"/>
      <c r="K28" s="107"/>
      <c r="L28" s="108"/>
      <c r="M28" s="73"/>
      <c r="N28" s="108"/>
      <c r="O28" s="67"/>
      <c r="P28" s="64"/>
      <c r="Q28" s="103"/>
      <c r="R28" s="103"/>
      <c r="S28" s="109"/>
    </row>
    <row r="29" spans="1:19" ht="19.5">
      <c r="A29" s="101"/>
      <c r="B29" s="102"/>
      <c r="C29" s="103"/>
      <c r="D29" s="104" t="b">
        <v>0</v>
      </c>
      <c r="E29" s="103" t="b">
        <v>0</v>
      </c>
      <c r="F29" s="146"/>
      <c r="G29" s="125"/>
      <c r="H29" s="103"/>
      <c r="I29" s="147"/>
      <c r="J29" s="124"/>
      <c r="K29" s="124"/>
      <c r="L29" s="108"/>
      <c r="M29" s="108"/>
      <c r="N29" s="108"/>
      <c r="O29" s="67"/>
      <c r="P29" s="67"/>
      <c r="Q29" s="103"/>
      <c r="R29" s="103"/>
      <c r="S29" s="109"/>
    </row>
    <row r="30" spans="1:19" ht="19.5">
      <c r="A30" s="101"/>
      <c r="B30" s="102"/>
      <c r="C30" s="103"/>
      <c r="D30" s="103" t="b">
        <v>0</v>
      </c>
      <c r="E30" s="103" t="b">
        <v>0</v>
      </c>
      <c r="F30" s="146"/>
      <c r="G30" s="105"/>
      <c r="H30" s="103"/>
      <c r="I30" s="147"/>
      <c r="J30" s="124"/>
      <c r="K30" s="124"/>
      <c r="L30" s="108"/>
      <c r="M30" s="108"/>
      <c r="N30" s="108"/>
      <c r="O30" s="67"/>
      <c r="P30" s="67"/>
      <c r="Q30" s="103"/>
      <c r="R30" s="103"/>
      <c r="S30" s="109"/>
    </row>
    <row r="31" spans="1:19" ht="28.5">
      <c r="A31" s="101"/>
      <c r="B31" s="133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5"/>
      <c r="S31" s="109"/>
    </row>
    <row r="32" spans="1:19" ht="46.5">
      <c r="A32" s="136"/>
      <c r="B32" s="155" t="s">
        <v>228</v>
      </c>
      <c r="C32" s="155"/>
      <c r="D32" s="140"/>
      <c r="E32" s="140"/>
      <c r="F32" s="140"/>
      <c r="G32" s="140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6"/>
    </row>
    <row r="33" spans="1:19" ht="19.5">
      <c r="A33" s="136"/>
      <c r="B33" s="140" t="s">
        <v>189</v>
      </c>
      <c r="C33" s="140"/>
      <c r="D33" s="140"/>
      <c r="E33" s="140"/>
      <c r="F33" s="140"/>
      <c r="G33" s="140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6"/>
    </row>
    <row r="34" spans="1:19" ht="19.5">
      <c r="A34" s="136"/>
      <c r="B34" s="140" t="s">
        <v>190</v>
      </c>
      <c r="C34" s="140"/>
      <c r="D34" s="140"/>
      <c r="E34" s="140"/>
      <c r="F34" s="140"/>
      <c r="G34" s="140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6"/>
    </row>
    <row r="35" spans="1:19" ht="19.5">
      <c r="A35" s="136"/>
      <c r="B35" s="140"/>
      <c r="C35" s="140"/>
      <c r="D35" s="140"/>
      <c r="E35" s="140"/>
      <c r="F35" s="140"/>
      <c r="G35" s="140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6"/>
    </row>
    <row r="36" spans="1:19" ht="19.5">
      <c r="A36" s="136"/>
      <c r="B36" s="140"/>
      <c r="C36" s="140"/>
      <c r="D36" s="140"/>
      <c r="E36" s="140"/>
      <c r="F36" s="140"/>
      <c r="G36" s="140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6"/>
    </row>
    <row r="37" spans="1:19" ht="19.5">
      <c r="A37" s="136"/>
      <c r="B37" s="140"/>
      <c r="C37" s="140"/>
      <c r="D37" s="140"/>
      <c r="E37" s="140"/>
      <c r="F37" s="140"/>
      <c r="G37" s="140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6"/>
    </row>
    <row r="38" spans="1:19" ht="19.5">
      <c r="A38" s="136"/>
      <c r="B38" s="140"/>
      <c r="C38" s="140"/>
      <c r="D38" s="140"/>
      <c r="E38" s="140"/>
      <c r="F38" s="140"/>
      <c r="G38" s="140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6"/>
    </row>
    <row r="39" spans="1:19" ht="19.5">
      <c r="A39" s="136"/>
      <c r="B39" s="140"/>
      <c r="C39" s="140"/>
      <c r="D39" s="140"/>
      <c r="E39" s="140"/>
      <c r="F39" s="140"/>
      <c r="G39" s="140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6"/>
    </row>
    <row r="40" spans="1:19" ht="19.5">
      <c r="A40" s="136"/>
      <c r="B40" s="140"/>
      <c r="C40" s="140"/>
      <c r="D40" s="140"/>
      <c r="E40" s="140"/>
      <c r="F40" s="140"/>
      <c r="G40" s="140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6"/>
    </row>
    <row r="41" spans="1:19" ht="19.5">
      <c r="A41" s="136"/>
      <c r="B41" s="140"/>
      <c r="C41" s="140"/>
      <c r="D41" s="140"/>
      <c r="E41" s="140"/>
      <c r="F41" s="140"/>
      <c r="G41" s="140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6"/>
    </row>
    <row r="42" spans="1:19" ht="19.5">
      <c r="A42" s="136"/>
      <c r="B42" s="140"/>
      <c r="C42" s="140"/>
      <c r="D42" s="140"/>
      <c r="E42" s="140"/>
      <c r="F42" s="140"/>
      <c r="G42" s="140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6"/>
    </row>
    <row r="43" spans="1:19" ht="19.5">
      <c r="A43" s="136"/>
      <c r="B43" s="140"/>
      <c r="C43" s="140"/>
      <c r="D43" s="140"/>
      <c r="E43" s="140"/>
      <c r="F43" s="140"/>
      <c r="G43" s="140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6"/>
    </row>
    <row r="44" spans="1:19" ht="19.5">
      <c r="A44" s="136"/>
      <c r="B44" s="143"/>
      <c r="C44" s="143"/>
      <c r="D44" s="143"/>
      <c r="E44" s="143"/>
      <c r="F44" s="143"/>
      <c r="G44" s="143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</row>
    <row r="45" spans="1:19" ht="19.5">
      <c r="A45" s="136"/>
      <c r="B45" s="143"/>
      <c r="C45" s="143"/>
      <c r="D45" s="143"/>
      <c r="E45" s="143"/>
      <c r="F45" s="143"/>
      <c r="G45" s="143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</row>
    <row r="46" spans="1:19" ht="19.5">
      <c r="A46" s="136"/>
      <c r="B46" s="143"/>
      <c r="C46" s="143"/>
      <c r="D46" s="143"/>
      <c r="E46" s="143"/>
      <c r="F46" s="143"/>
      <c r="G46" s="143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</row>
    <row r="47" spans="1:19" ht="19.5">
      <c r="A47" s="136"/>
      <c r="B47" s="143"/>
      <c r="C47" s="143"/>
      <c r="D47" s="143"/>
      <c r="E47" s="143"/>
      <c r="F47" s="143"/>
      <c r="G47" s="143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</row>
    <row r="48" spans="1:19" ht="19.5">
      <c r="A48" s="136"/>
      <c r="B48" s="143"/>
      <c r="C48" s="143"/>
      <c r="D48" s="143"/>
      <c r="E48" s="143"/>
      <c r="F48" s="143"/>
      <c r="G48" s="143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</row>
    <row r="49" spans="1:19" ht="19.5">
      <c r="A49" s="136"/>
      <c r="B49" s="143"/>
      <c r="C49" s="143"/>
      <c r="D49" s="143"/>
      <c r="E49" s="143"/>
      <c r="F49" s="143"/>
      <c r="G49" s="143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</row>
    <row r="50" spans="1:19" ht="19.5">
      <c r="A50" s="136"/>
      <c r="B50" s="143"/>
      <c r="C50" s="143"/>
      <c r="D50" s="143"/>
      <c r="E50" s="143"/>
      <c r="F50" s="143"/>
      <c r="G50" s="143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</row>
    <row r="51" spans="1:19" ht="19.5">
      <c r="A51" s="136"/>
      <c r="B51" s="143"/>
      <c r="C51" s="143"/>
      <c r="D51" s="143"/>
      <c r="E51" s="143"/>
      <c r="F51" s="143"/>
      <c r="G51" s="143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</row>
    <row r="52" spans="1:19" ht="19.5">
      <c r="A52" s="136"/>
      <c r="B52" s="143"/>
      <c r="C52" s="143"/>
      <c r="D52" s="143"/>
      <c r="E52" s="143"/>
      <c r="F52" s="143"/>
      <c r="G52" s="143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</row>
    <row r="53" spans="1:19" ht="19.5">
      <c r="A53" s="136"/>
      <c r="B53" s="143"/>
      <c r="C53" s="143"/>
      <c r="D53" s="143"/>
      <c r="E53" s="143"/>
      <c r="F53" s="143"/>
      <c r="G53" s="143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</row>
    <row r="54" spans="1:19" ht="19.5">
      <c r="A54" s="136"/>
      <c r="B54" s="143"/>
      <c r="C54" s="143"/>
      <c r="D54" s="143"/>
      <c r="E54" s="143"/>
      <c r="F54" s="143"/>
      <c r="G54" s="143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</row>
    <row r="55" spans="1:19" ht="19.5">
      <c r="A55" s="136"/>
      <c r="B55" s="143"/>
      <c r="C55" s="143"/>
      <c r="D55" s="143"/>
      <c r="E55" s="143"/>
      <c r="F55" s="143"/>
      <c r="G55" s="143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</row>
    <row r="56" spans="1:19" ht="19.5">
      <c r="A56" s="136"/>
      <c r="B56" s="143"/>
      <c r="C56" s="143"/>
      <c r="D56" s="143"/>
      <c r="E56" s="143"/>
      <c r="F56" s="143"/>
      <c r="G56" s="143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</row>
    <row r="57" spans="1:19" ht="19.5">
      <c r="A57" s="136"/>
      <c r="B57" s="143"/>
      <c r="C57" s="143"/>
      <c r="D57" s="143"/>
      <c r="E57" s="143"/>
      <c r="F57" s="143"/>
      <c r="G57" s="143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</row>
    <row r="58" spans="1:19" ht="19.5">
      <c r="A58" s="136"/>
      <c r="B58" s="143"/>
      <c r="C58" s="143"/>
      <c r="D58" s="143"/>
      <c r="E58" s="143"/>
      <c r="F58" s="143"/>
      <c r="G58" s="143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</row>
    <row r="59" spans="1:19" ht="19.5">
      <c r="A59" s="136"/>
      <c r="B59" s="143"/>
      <c r="C59" s="143"/>
      <c r="D59" s="143"/>
      <c r="E59" s="143"/>
      <c r="F59" s="143"/>
      <c r="G59" s="143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</row>
    <row r="60" spans="1:19" ht="19.5">
      <c r="A60" s="136"/>
      <c r="B60" s="143"/>
      <c r="C60" s="143"/>
      <c r="D60" s="143"/>
      <c r="E60" s="143"/>
      <c r="F60" s="143"/>
      <c r="G60" s="143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</row>
    <row r="61" spans="1:19" ht="19.5">
      <c r="A61" s="136"/>
      <c r="B61" s="143"/>
      <c r="C61" s="143"/>
      <c r="D61" s="143"/>
      <c r="E61" s="143"/>
      <c r="F61" s="143"/>
      <c r="G61" s="143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</row>
    <row r="62" spans="1:19" ht="19.5">
      <c r="A62" s="136"/>
      <c r="B62" s="143"/>
      <c r="C62" s="143"/>
      <c r="D62" s="143"/>
      <c r="E62" s="143"/>
      <c r="F62" s="143"/>
      <c r="G62" s="143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</row>
    <row r="63" spans="1:19" ht="19.5">
      <c r="A63" s="136"/>
      <c r="B63" s="143"/>
      <c r="C63" s="143"/>
      <c r="D63" s="143"/>
      <c r="E63" s="143"/>
      <c r="F63" s="143"/>
      <c r="G63" s="143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</row>
    <row r="64" spans="1:19" ht="19.5">
      <c r="A64" s="136"/>
      <c r="B64" s="143"/>
      <c r="C64" s="143"/>
      <c r="D64" s="143"/>
      <c r="E64" s="143"/>
      <c r="F64" s="143"/>
      <c r="G64" s="143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</row>
    <row r="65" spans="1:19" ht="19.5">
      <c r="A65" s="136"/>
      <c r="B65" s="143"/>
      <c r="C65" s="143"/>
      <c r="D65" s="143"/>
      <c r="E65" s="143"/>
      <c r="F65" s="143"/>
      <c r="G65" s="143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</row>
    <row r="66" spans="1:19" ht="19.5">
      <c r="A66" s="136"/>
      <c r="B66" s="143"/>
      <c r="C66" s="143"/>
      <c r="D66" s="143"/>
      <c r="E66" s="143"/>
      <c r="F66" s="143"/>
      <c r="G66" s="143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</row>
    <row r="67" spans="1:19" ht="19.5">
      <c r="A67" s="136"/>
      <c r="B67" s="143"/>
      <c r="C67" s="143"/>
      <c r="D67" s="143"/>
      <c r="E67" s="143"/>
      <c r="F67" s="143"/>
      <c r="G67" s="143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</row>
    <row r="68" spans="1:19" ht="19.5">
      <c r="A68" s="136"/>
      <c r="B68" s="143"/>
      <c r="C68" s="143"/>
      <c r="D68" s="143"/>
      <c r="E68" s="143"/>
      <c r="F68" s="143"/>
      <c r="G68" s="143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</row>
    <row r="69" spans="1:19" ht="19.5">
      <c r="A69" s="136"/>
      <c r="B69" s="143"/>
      <c r="C69" s="143"/>
      <c r="D69" s="143"/>
      <c r="E69" s="143"/>
      <c r="F69" s="143"/>
      <c r="G69" s="143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</row>
    <row r="70" spans="1:19" ht="19.5">
      <c r="A70" s="136"/>
      <c r="B70" s="143"/>
      <c r="C70" s="143"/>
      <c r="D70" s="143"/>
      <c r="E70" s="143"/>
      <c r="F70" s="143"/>
      <c r="G70" s="143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</row>
    <row r="71" spans="1:19" ht="19.5">
      <c r="A71" s="136"/>
      <c r="B71" s="143"/>
      <c r="C71" s="143"/>
      <c r="D71" s="143"/>
      <c r="E71" s="143"/>
      <c r="F71" s="143"/>
      <c r="G71" s="143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</row>
    <row r="72" spans="1:19" ht="19.5">
      <c r="A72" s="136"/>
      <c r="B72" s="143"/>
      <c r="C72" s="143"/>
      <c r="D72" s="143"/>
      <c r="E72" s="143"/>
      <c r="F72" s="143"/>
      <c r="G72" s="143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</row>
    <row r="73" spans="1:19" ht="19.5">
      <c r="A73" s="136"/>
      <c r="B73" s="143"/>
      <c r="C73" s="143"/>
      <c r="D73" s="143"/>
      <c r="E73" s="143"/>
      <c r="F73" s="143"/>
      <c r="G73" s="143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</row>
    <row r="74" spans="1:19" ht="19.5">
      <c r="A74" s="136"/>
      <c r="B74" s="143"/>
      <c r="C74" s="143"/>
      <c r="D74" s="143"/>
      <c r="E74" s="143"/>
      <c r="F74" s="143"/>
      <c r="G74" s="143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</row>
    <row r="75" spans="1:19" ht="19.5">
      <c r="A75" s="136"/>
      <c r="B75" s="143"/>
      <c r="C75" s="143"/>
      <c r="D75" s="143"/>
      <c r="E75" s="143"/>
      <c r="F75" s="143"/>
      <c r="G75" s="143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</row>
    <row r="76" spans="1:19" ht="19.5">
      <c r="A76" s="136"/>
      <c r="B76" s="143"/>
      <c r="C76" s="143"/>
      <c r="D76" s="143"/>
      <c r="E76" s="143"/>
      <c r="F76" s="143"/>
      <c r="G76" s="143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</row>
    <row r="77" spans="1:19" ht="19.5">
      <c r="A77" s="136"/>
      <c r="B77" s="143"/>
      <c r="C77" s="143"/>
      <c r="D77" s="143"/>
      <c r="E77" s="143"/>
      <c r="F77" s="143"/>
      <c r="G77" s="143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</row>
    <row r="78" spans="1:19" ht="19.5">
      <c r="A78" s="136"/>
      <c r="B78" s="143"/>
      <c r="C78" s="143"/>
      <c r="D78" s="143"/>
      <c r="E78" s="143"/>
      <c r="F78" s="143"/>
      <c r="G78" s="143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</row>
    <row r="79" spans="1:19" ht="19.5">
      <c r="A79" s="136"/>
      <c r="B79" s="143"/>
      <c r="C79" s="143"/>
      <c r="D79" s="143"/>
      <c r="E79" s="143"/>
      <c r="F79" s="143"/>
      <c r="G79" s="143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</row>
    <row r="80" spans="1:19" ht="19.5">
      <c r="A80" s="136"/>
      <c r="B80" s="143"/>
      <c r="C80" s="143"/>
      <c r="D80" s="143"/>
      <c r="E80" s="143"/>
      <c r="F80" s="143"/>
      <c r="G80" s="143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</row>
    <row r="81" spans="1:19" ht="19.5">
      <c r="A81" s="136"/>
      <c r="B81" s="143"/>
      <c r="C81" s="143"/>
      <c r="D81" s="143"/>
      <c r="E81" s="143"/>
      <c r="F81" s="143"/>
      <c r="G81" s="143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</row>
    <row r="82" spans="1:19" ht="19.5">
      <c r="A82" s="136"/>
      <c r="B82" s="143"/>
      <c r="C82" s="143"/>
      <c r="D82" s="143"/>
      <c r="E82" s="143"/>
      <c r="F82" s="143"/>
      <c r="G82" s="143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</row>
    <row r="83" spans="1:19" ht="19.5">
      <c r="A83" s="136"/>
      <c r="B83" s="143"/>
      <c r="C83" s="143"/>
      <c r="D83" s="143"/>
      <c r="E83" s="143"/>
      <c r="F83" s="143"/>
      <c r="G83" s="143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</row>
    <row r="84" spans="1:19" ht="19.5">
      <c r="A84" s="136"/>
      <c r="B84" s="143"/>
      <c r="C84" s="143"/>
      <c r="D84" s="143"/>
      <c r="E84" s="143"/>
      <c r="F84" s="143"/>
      <c r="G84" s="143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</row>
    <row r="85" spans="1:19" ht="19.5">
      <c r="A85" s="136"/>
      <c r="B85" s="143"/>
      <c r="C85" s="143"/>
      <c r="D85" s="143"/>
      <c r="E85" s="143"/>
      <c r="F85" s="143"/>
      <c r="G85" s="143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</row>
    <row r="86" spans="1:19" ht="19.5">
      <c r="A86" s="136"/>
      <c r="B86" s="143"/>
      <c r="C86" s="143"/>
      <c r="D86" s="143"/>
      <c r="E86" s="143"/>
      <c r="F86" s="143"/>
      <c r="G86" s="143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</row>
    <row r="87" spans="1:19" ht="19.5">
      <c r="A87" s="136"/>
      <c r="B87" s="143"/>
      <c r="C87" s="143"/>
      <c r="D87" s="143"/>
      <c r="E87" s="143"/>
      <c r="F87" s="143"/>
      <c r="G87" s="143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</row>
    <row r="88" spans="1:19" ht="19.5">
      <c r="A88" s="136"/>
      <c r="B88" s="143"/>
      <c r="C88" s="143"/>
      <c r="D88" s="143"/>
      <c r="E88" s="143"/>
      <c r="F88" s="143"/>
      <c r="G88" s="143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</row>
    <row r="89" spans="1:19" ht="19.5">
      <c r="A89" s="136"/>
      <c r="B89" s="143"/>
      <c r="C89" s="143"/>
      <c r="D89" s="143"/>
      <c r="E89" s="143"/>
      <c r="F89" s="143"/>
      <c r="G89" s="143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</row>
    <row r="90" spans="1:19" ht="19.5">
      <c r="A90" s="136"/>
      <c r="B90" s="143"/>
      <c r="C90" s="143"/>
      <c r="D90" s="143"/>
      <c r="E90" s="143"/>
      <c r="F90" s="143"/>
      <c r="G90" s="143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</row>
    <row r="91" spans="1:19" ht="19.5">
      <c r="A91" s="136"/>
      <c r="B91" s="143"/>
      <c r="C91" s="143"/>
      <c r="D91" s="143"/>
      <c r="E91" s="143"/>
      <c r="F91" s="143"/>
      <c r="G91" s="143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</row>
    <row r="92" spans="1:19" ht="19.5">
      <c r="A92" s="136"/>
      <c r="B92" s="143"/>
      <c r="C92" s="143"/>
      <c r="D92" s="143"/>
      <c r="E92" s="143"/>
      <c r="F92" s="143"/>
      <c r="G92" s="143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</row>
    <row r="93" spans="1:19" ht="19.5">
      <c r="A93" s="136"/>
      <c r="B93" s="143"/>
      <c r="C93" s="143"/>
      <c r="D93" s="143"/>
      <c r="E93" s="143"/>
      <c r="F93" s="143"/>
      <c r="G93" s="143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</row>
    <row r="94" spans="1:19" ht="19.5">
      <c r="A94" s="136"/>
      <c r="B94" s="143"/>
      <c r="C94" s="143"/>
      <c r="D94" s="143"/>
      <c r="E94" s="143"/>
      <c r="F94" s="143"/>
      <c r="G94" s="143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</row>
    <row r="95" spans="1:19" ht="19.5">
      <c r="A95" s="136"/>
      <c r="B95" s="143"/>
      <c r="C95" s="143"/>
      <c r="D95" s="143"/>
      <c r="E95" s="143"/>
      <c r="F95" s="143"/>
      <c r="G95" s="143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</row>
    <row r="96" spans="1:19" ht="19.5">
      <c r="A96" s="136"/>
      <c r="B96" s="143"/>
      <c r="C96" s="143"/>
      <c r="D96" s="143"/>
      <c r="E96" s="143"/>
      <c r="F96" s="143"/>
      <c r="G96" s="143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</row>
    <row r="97" spans="1:19" ht="19.5">
      <c r="A97" s="136"/>
      <c r="B97" s="143"/>
      <c r="C97" s="143"/>
      <c r="D97" s="143"/>
      <c r="E97" s="143"/>
      <c r="F97" s="143"/>
      <c r="G97" s="143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</row>
    <row r="98" spans="1:19" ht="19.5">
      <c r="A98" s="136"/>
      <c r="B98" s="143"/>
      <c r="C98" s="143"/>
      <c r="D98" s="143"/>
      <c r="E98" s="143"/>
      <c r="F98" s="143"/>
      <c r="G98" s="143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</row>
    <row r="99" spans="1:19" ht="19.5">
      <c r="A99" s="136"/>
      <c r="B99" s="143"/>
      <c r="C99" s="143"/>
      <c r="D99" s="143"/>
      <c r="E99" s="143"/>
      <c r="F99" s="143"/>
      <c r="G99" s="143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</row>
    <row r="100" spans="1:19" ht="19.5">
      <c r="A100" s="136"/>
      <c r="B100" s="143"/>
      <c r="C100" s="143"/>
      <c r="D100" s="143"/>
      <c r="E100" s="143"/>
      <c r="F100" s="143"/>
      <c r="G100" s="143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</row>
    <row r="101" spans="1:19" ht="19.5">
      <c r="A101" s="136"/>
      <c r="B101" s="143"/>
      <c r="C101" s="143"/>
      <c r="D101" s="143"/>
      <c r="E101" s="143"/>
      <c r="F101" s="143"/>
      <c r="G101" s="143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</row>
    <row r="102" spans="1:19" ht="19.5">
      <c r="A102" s="136"/>
      <c r="B102" s="143"/>
      <c r="C102" s="143"/>
      <c r="D102" s="143"/>
      <c r="E102" s="143"/>
      <c r="F102" s="143"/>
      <c r="G102" s="143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</row>
    <row r="103" spans="1:19" ht="19.5">
      <c r="A103" s="136"/>
      <c r="B103" s="143"/>
      <c r="C103" s="143"/>
      <c r="D103" s="143"/>
      <c r="E103" s="143"/>
      <c r="F103" s="143"/>
      <c r="G103" s="143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</row>
    <row r="104" spans="1:19" ht="19.5">
      <c r="A104" s="136"/>
      <c r="B104" s="143"/>
      <c r="C104" s="143"/>
      <c r="D104" s="143"/>
      <c r="E104" s="143"/>
      <c r="F104" s="143"/>
      <c r="G104" s="143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</row>
    <row r="105" spans="1:19" ht="19.5">
      <c r="A105" s="136"/>
      <c r="B105" s="143"/>
      <c r="C105" s="143"/>
      <c r="D105" s="143"/>
      <c r="E105" s="143"/>
      <c r="F105" s="143"/>
      <c r="G105" s="143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</row>
    <row r="106" spans="1:19" ht="19.5">
      <c r="A106" s="136"/>
      <c r="B106" s="143"/>
      <c r="C106" s="143"/>
      <c r="D106" s="143"/>
      <c r="E106" s="143"/>
      <c r="F106" s="143"/>
      <c r="G106" s="143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</row>
    <row r="107" spans="1:19" ht="19.5">
      <c r="A107" s="136"/>
      <c r="B107" s="143"/>
      <c r="C107" s="143"/>
      <c r="D107" s="143"/>
      <c r="E107" s="143"/>
      <c r="F107" s="143"/>
      <c r="G107" s="143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</row>
    <row r="108" spans="1:19" ht="19.5">
      <c r="A108" s="136"/>
      <c r="B108" s="143"/>
      <c r="C108" s="143"/>
      <c r="D108" s="143"/>
      <c r="E108" s="143"/>
      <c r="F108" s="143"/>
      <c r="G108" s="143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</row>
    <row r="109" spans="1:19" ht="19.5">
      <c r="A109" s="136"/>
      <c r="B109" s="143"/>
      <c r="C109" s="143"/>
      <c r="D109" s="143"/>
      <c r="E109" s="143"/>
      <c r="F109" s="143"/>
      <c r="G109" s="143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</row>
    <row r="110" spans="1:19" ht="19.5">
      <c r="A110" s="136"/>
      <c r="B110" s="143"/>
      <c r="C110" s="143"/>
      <c r="D110" s="143"/>
      <c r="E110" s="143"/>
      <c r="F110" s="143"/>
      <c r="G110" s="143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</row>
    <row r="111" spans="1:19" ht="19.5">
      <c r="A111" s="136"/>
      <c r="B111" s="143"/>
      <c r="C111" s="143"/>
      <c r="D111" s="143"/>
      <c r="E111" s="143"/>
      <c r="F111" s="143"/>
      <c r="G111" s="143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</row>
    <row r="112" spans="1:19" ht="19.5">
      <c r="A112" s="136"/>
      <c r="B112" s="143"/>
      <c r="C112" s="143"/>
      <c r="D112" s="143"/>
      <c r="E112" s="143"/>
      <c r="F112" s="143"/>
      <c r="G112" s="143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</row>
    <row r="113" spans="1:19" ht="19.5">
      <c r="A113" s="136"/>
      <c r="B113" s="143"/>
      <c r="C113" s="143"/>
      <c r="D113" s="143"/>
      <c r="E113" s="143"/>
      <c r="F113" s="143"/>
      <c r="G113" s="143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</row>
    <row r="114" spans="1:19" ht="19.5">
      <c r="A114" s="136"/>
      <c r="B114" s="143"/>
      <c r="C114" s="143"/>
      <c r="D114" s="143"/>
      <c r="E114" s="143"/>
      <c r="F114" s="143"/>
      <c r="G114" s="143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</row>
    <row r="115" spans="1:19" ht="19.5">
      <c r="A115" s="136"/>
      <c r="B115" s="143"/>
      <c r="C115" s="143"/>
      <c r="D115" s="143"/>
      <c r="E115" s="143"/>
      <c r="F115" s="143"/>
      <c r="G115" s="143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</row>
    <row r="116" spans="1:19" ht="19.5">
      <c r="A116" s="136"/>
      <c r="B116" s="143"/>
      <c r="C116" s="143"/>
      <c r="D116" s="143"/>
      <c r="E116" s="143"/>
      <c r="F116" s="143"/>
      <c r="G116" s="143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</row>
    <row r="117" spans="1:19" ht="19.5">
      <c r="A117" s="136"/>
      <c r="B117" s="143"/>
      <c r="C117" s="143"/>
      <c r="D117" s="143"/>
      <c r="E117" s="143"/>
      <c r="F117" s="143"/>
      <c r="G117" s="143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</row>
    <row r="118" spans="1:19" ht="19.5">
      <c r="A118" s="136"/>
      <c r="B118" s="143"/>
      <c r="C118" s="143"/>
      <c r="D118" s="143"/>
      <c r="E118" s="143"/>
      <c r="F118" s="143"/>
      <c r="G118" s="143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</row>
    <row r="119" spans="1:19" ht="19.5">
      <c r="A119" s="136"/>
      <c r="B119" s="143"/>
      <c r="C119" s="143"/>
      <c r="D119" s="143"/>
      <c r="E119" s="143"/>
      <c r="F119" s="143"/>
      <c r="G119" s="143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</row>
    <row r="120" spans="1:19" ht="19.5">
      <c r="A120" s="136"/>
      <c r="B120" s="143"/>
      <c r="C120" s="143"/>
      <c r="D120" s="143"/>
      <c r="E120" s="143"/>
      <c r="F120" s="143"/>
      <c r="G120" s="143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</row>
    <row r="121" spans="1:19" ht="19.5">
      <c r="A121" s="136"/>
      <c r="B121" s="143"/>
      <c r="C121" s="143"/>
      <c r="D121" s="143"/>
      <c r="E121" s="143"/>
      <c r="F121" s="143"/>
      <c r="G121" s="143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</row>
    <row r="122" spans="1:19" ht="19.5">
      <c r="A122" s="136"/>
      <c r="B122" s="143"/>
      <c r="C122" s="143"/>
      <c r="D122" s="143"/>
      <c r="E122" s="143"/>
      <c r="F122" s="143"/>
      <c r="G122" s="143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</row>
    <row r="123" spans="1:19" ht="19.5">
      <c r="A123" s="136"/>
      <c r="B123" s="143"/>
      <c r="C123" s="143"/>
      <c r="D123" s="143"/>
      <c r="E123" s="143"/>
      <c r="F123" s="143"/>
      <c r="G123" s="143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</row>
    <row r="124" spans="1:19" ht="19.5">
      <c r="A124" s="136"/>
      <c r="B124" s="143"/>
      <c r="C124" s="143"/>
      <c r="D124" s="143"/>
      <c r="E124" s="143"/>
      <c r="F124" s="143"/>
      <c r="G124" s="143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</row>
    <row r="125" spans="1:19" ht="19.5">
      <c r="A125" s="136"/>
      <c r="B125" s="143"/>
      <c r="C125" s="143"/>
      <c r="D125" s="143"/>
      <c r="E125" s="143"/>
      <c r="F125" s="143"/>
      <c r="G125" s="143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</row>
    <row r="126" spans="1:19" ht="19.5">
      <c r="A126" s="136"/>
      <c r="B126" s="143"/>
      <c r="C126" s="143"/>
      <c r="D126" s="143"/>
      <c r="E126" s="143"/>
      <c r="F126" s="143"/>
      <c r="G126" s="143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</row>
    <row r="127" spans="1:19" ht="19.5">
      <c r="A127" s="136"/>
      <c r="B127" s="143"/>
      <c r="C127" s="143"/>
      <c r="D127" s="143"/>
      <c r="E127" s="143"/>
      <c r="F127" s="143"/>
      <c r="G127" s="143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</row>
    <row r="128" spans="1:19" ht="19.5">
      <c r="A128" s="136"/>
      <c r="B128" s="143"/>
      <c r="C128" s="143"/>
      <c r="D128" s="143"/>
      <c r="E128" s="143"/>
      <c r="F128" s="143"/>
      <c r="G128" s="143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</row>
    <row r="129" spans="1:19" ht="19.5">
      <c r="A129" s="136"/>
      <c r="B129" s="143"/>
      <c r="C129" s="143"/>
      <c r="D129" s="143"/>
      <c r="E129" s="143"/>
      <c r="F129" s="143"/>
      <c r="G129" s="143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</row>
    <row r="130" spans="1:19" ht="19.5">
      <c r="A130" s="136"/>
      <c r="B130" s="143"/>
      <c r="C130" s="143"/>
      <c r="D130" s="143"/>
      <c r="E130" s="143"/>
      <c r="F130" s="143"/>
      <c r="G130" s="143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</row>
    <row r="131" spans="1:19" ht="19.5">
      <c r="A131" s="136"/>
      <c r="B131" s="143"/>
      <c r="C131" s="143"/>
      <c r="D131" s="143"/>
      <c r="E131" s="143"/>
      <c r="F131" s="143"/>
      <c r="G131" s="143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</row>
    <row r="132" spans="1:19" ht="19.5">
      <c r="A132" s="136"/>
      <c r="B132" s="143"/>
      <c r="C132" s="143"/>
      <c r="D132" s="143"/>
      <c r="E132" s="143"/>
      <c r="F132" s="143"/>
      <c r="G132" s="143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</row>
    <row r="133" spans="1:19" ht="19.5">
      <c r="A133" s="136"/>
      <c r="B133" s="143"/>
      <c r="C133" s="143"/>
      <c r="D133" s="143"/>
      <c r="E133" s="143"/>
      <c r="F133" s="143"/>
      <c r="G133" s="143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</row>
    <row r="134" spans="1:19" ht="19.5">
      <c r="A134" s="136"/>
      <c r="B134" s="143"/>
      <c r="C134" s="143"/>
      <c r="D134" s="143"/>
      <c r="E134" s="143"/>
      <c r="F134" s="143"/>
      <c r="G134" s="143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</row>
    <row r="135" spans="1:19" ht="19.5">
      <c r="A135" s="136"/>
      <c r="B135" s="143"/>
      <c r="C135" s="143"/>
      <c r="D135" s="143"/>
      <c r="E135" s="143"/>
      <c r="F135" s="143"/>
      <c r="G135" s="143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</row>
    <row r="136" spans="1:19" ht="19.5">
      <c r="A136" s="136"/>
      <c r="B136" s="143"/>
      <c r="C136" s="143"/>
      <c r="D136" s="143"/>
      <c r="E136" s="143"/>
      <c r="F136" s="143"/>
      <c r="G136" s="143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</row>
    <row r="137" spans="1:19" ht="19.5">
      <c r="A137" s="136"/>
      <c r="B137" s="143"/>
      <c r="C137" s="143"/>
      <c r="D137" s="143"/>
      <c r="E137" s="143"/>
      <c r="F137" s="143"/>
      <c r="G137" s="143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</row>
    <row r="138" spans="1:19" ht="19.5">
      <c r="A138" s="136"/>
      <c r="B138" s="143"/>
      <c r="C138" s="143"/>
      <c r="D138" s="143"/>
      <c r="E138" s="143"/>
      <c r="F138" s="143"/>
      <c r="G138" s="143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</row>
    <row r="139" spans="1:19" ht="19.5">
      <c r="A139" s="136"/>
      <c r="B139" s="143"/>
      <c r="C139" s="143"/>
      <c r="D139" s="143"/>
      <c r="E139" s="143"/>
      <c r="F139" s="143"/>
      <c r="G139" s="143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</row>
    <row r="140" spans="1:19" ht="19.5">
      <c r="A140" s="136"/>
      <c r="B140" s="143"/>
      <c r="C140" s="143"/>
      <c r="D140" s="143"/>
      <c r="E140" s="143"/>
      <c r="F140" s="143"/>
      <c r="G140" s="143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</row>
    <row r="141" spans="1:19" ht="19.5">
      <c r="A141" s="136"/>
      <c r="B141" s="143"/>
      <c r="C141" s="143"/>
      <c r="D141" s="143"/>
      <c r="E141" s="143"/>
      <c r="F141" s="143"/>
      <c r="G141" s="143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</row>
    <row r="142" spans="1:19" ht="19.5">
      <c r="A142" s="136"/>
      <c r="B142" s="143"/>
      <c r="C142" s="143"/>
      <c r="D142" s="143"/>
      <c r="E142" s="143"/>
      <c r="F142" s="143"/>
      <c r="G142" s="143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</row>
    <row r="143" spans="1:19" ht="19.5">
      <c r="A143" s="136"/>
      <c r="B143" s="143"/>
      <c r="C143" s="143"/>
      <c r="D143" s="143"/>
      <c r="E143" s="143"/>
      <c r="F143" s="143"/>
      <c r="G143" s="143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</row>
    <row r="144" spans="1:19" ht="19.5">
      <c r="A144" s="136"/>
      <c r="B144" s="143"/>
      <c r="C144" s="143"/>
      <c r="D144" s="143"/>
      <c r="E144" s="143"/>
      <c r="F144" s="143"/>
      <c r="G144" s="143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</row>
    <row r="145" spans="1:19" ht="19.5">
      <c r="A145" s="136"/>
      <c r="B145" s="143"/>
      <c r="C145" s="143"/>
      <c r="D145" s="143"/>
      <c r="E145" s="143"/>
      <c r="F145" s="143"/>
      <c r="G145" s="143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</row>
    <row r="146" spans="1:19" ht="19.5">
      <c r="A146" s="136"/>
      <c r="B146" s="143"/>
      <c r="C146" s="143"/>
      <c r="D146" s="143"/>
      <c r="E146" s="143"/>
      <c r="F146" s="143"/>
      <c r="G146" s="143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</row>
    <row r="147" spans="1:19" ht="19.5">
      <c r="A147" s="136"/>
      <c r="B147" s="143"/>
      <c r="C147" s="143"/>
      <c r="D147" s="143"/>
      <c r="E147" s="143"/>
      <c r="F147" s="143"/>
      <c r="G147" s="143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</row>
    <row r="148" spans="1:19" ht="19.5">
      <c r="A148" s="136"/>
      <c r="B148" s="143"/>
      <c r="C148" s="143"/>
      <c r="D148" s="143"/>
      <c r="E148" s="143"/>
      <c r="F148" s="143"/>
      <c r="G148" s="143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</row>
    <row r="149" spans="1:19" ht="19.5">
      <c r="A149" s="136"/>
      <c r="B149" s="143"/>
      <c r="C149" s="143"/>
      <c r="D149" s="143"/>
      <c r="E149" s="143"/>
      <c r="F149" s="143"/>
      <c r="G149" s="143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</row>
    <row r="150" spans="1:19" ht="19.5">
      <c r="A150" s="136"/>
      <c r="B150" s="143"/>
      <c r="C150" s="143"/>
      <c r="D150" s="143"/>
      <c r="E150" s="143"/>
      <c r="F150" s="143"/>
      <c r="G150" s="143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</row>
    <row r="151" spans="1:19" ht="19.5">
      <c r="A151" s="136"/>
      <c r="B151" s="143"/>
      <c r="C151" s="143"/>
      <c r="D151" s="143"/>
      <c r="E151" s="143"/>
      <c r="F151" s="143"/>
      <c r="G151" s="143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</row>
    <row r="152" spans="1:19" ht="19.5">
      <c r="A152" s="136"/>
      <c r="B152" s="143"/>
      <c r="C152" s="143"/>
      <c r="D152" s="143"/>
      <c r="E152" s="143"/>
      <c r="F152" s="143"/>
      <c r="G152" s="143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</row>
    <row r="153" spans="1:19" ht="19.5">
      <c r="A153" s="136"/>
      <c r="B153" s="143"/>
      <c r="C153" s="143"/>
      <c r="D153" s="143"/>
      <c r="E153" s="143"/>
      <c r="F153" s="143"/>
      <c r="G153" s="143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</row>
    <row r="154" spans="1:19" ht="19.5">
      <c r="A154" s="136"/>
      <c r="B154" s="143"/>
      <c r="C154" s="143"/>
      <c r="D154" s="143"/>
      <c r="E154" s="143"/>
      <c r="F154" s="143"/>
      <c r="G154" s="143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</row>
    <row r="155" spans="1:19" ht="19.5">
      <c r="A155" s="136"/>
      <c r="B155" s="143"/>
      <c r="C155" s="143"/>
      <c r="D155" s="143"/>
      <c r="E155" s="143"/>
      <c r="F155" s="143"/>
      <c r="G155" s="143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</row>
    <row r="156" spans="1:19" ht="19.5">
      <c r="A156" s="136"/>
      <c r="B156" s="143"/>
      <c r="C156" s="143"/>
      <c r="D156" s="143"/>
      <c r="E156" s="143"/>
      <c r="F156" s="143"/>
      <c r="G156" s="143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</row>
    <row r="157" spans="1:19" ht="19.5">
      <c r="A157" s="136"/>
      <c r="B157" s="143"/>
      <c r="C157" s="143"/>
      <c r="D157" s="143"/>
      <c r="E157" s="143"/>
      <c r="F157" s="143"/>
      <c r="G157" s="143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</row>
    <row r="158" spans="1:19" ht="19.5">
      <c r="A158" s="136"/>
      <c r="B158" s="143"/>
      <c r="C158" s="143"/>
      <c r="D158" s="143"/>
      <c r="E158" s="143"/>
      <c r="F158" s="143"/>
      <c r="G158" s="143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</row>
    <row r="159" spans="1:19" ht="19.5">
      <c r="A159" s="136"/>
      <c r="B159" s="143"/>
      <c r="C159" s="143"/>
      <c r="D159" s="143"/>
      <c r="E159" s="143"/>
      <c r="F159" s="143"/>
      <c r="G159" s="143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</row>
    <row r="160" spans="1:19" ht="19.5">
      <c r="A160" s="136"/>
      <c r="B160" s="143"/>
      <c r="C160" s="143"/>
      <c r="D160" s="143"/>
      <c r="E160" s="143"/>
      <c r="F160" s="143"/>
      <c r="G160" s="143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</row>
    <row r="161" spans="1:19" ht="19.5">
      <c r="A161" s="136"/>
      <c r="B161" s="143"/>
      <c r="C161" s="143"/>
      <c r="D161" s="143"/>
      <c r="E161" s="143"/>
      <c r="F161" s="143"/>
      <c r="G161" s="143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</row>
    <row r="162" spans="1:19" ht="19.5">
      <c r="A162" s="136"/>
      <c r="B162" s="143"/>
      <c r="C162" s="143"/>
      <c r="D162" s="143"/>
      <c r="E162" s="143"/>
      <c r="F162" s="143"/>
      <c r="G162" s="143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</row>
    <row r="163" spans="1:19" ht="19.5">
      <c r="A163" s="136"/>
      <c r="B163" s="143"/>
      <c r="C163" s="143"/>
      <c r="D163" s="143"/>
      <c r="E163" s="143"/>
      <c r="F163" s="143"/>
      <c r="G163" s="143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</row>
    <row r="164" spans="1:19" ht="19.5">
      <c r="A164" s="136"/>
      <c r="B164" s="143"/>
      <c r="C164" s="143"/>
      <c r="D164" s="143"/>
      <c r="E164" s="143"/>
      <c r="F164" s="143"/>
      <c r="G164" s="143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</row>
    <row r="165" spans="1:19" ht="19.5">
      <c r="A165" s="136"/>
      <c r="B165" s="143"/>
      <c r="C165" s="143"/>
      <c r="D165" s="143"/>
      <c r="E165" s="143"/>
      <c r="F165" s="143"/>
      <c r="G165" s="143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</row>
    <row r="166" spans="1:19" ht="19.5">
      <c r="A166" s="136"/>
      <c r="B166" s="143"/>
      <c r="C166" s="143"/>
      <c r="D166" s="143"/>
      <c r="E166" s="143"/>
      <c r="F166" s="143"/>
      <c r="G166" s="143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</row>
    <row r="167" spans="1:19" ht="19.5">
      <c r="A167" s="136"/>
      <c r="B167" s="143"/>
      <c r="C167" s="143"/>
      <c r="D167" s="143"/>
      <c r="E167" s="143"/>
      <c r="F167" s="143"/>
      <c r="G167" s="143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</row>
    <row r="168" spans="1:19" ht="19.5">
      <c r="A168" s="136"/>
      <c r="B168" s="143"/>
      <c r="C168" s="143"/>
      <c r="D168" s="143"/>
      <c r="E168" s="143"/>
      <c r="F168" s="143"/>
      <c r="G168" s="143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</row>
    <row r="169" spans="1:19" ht="19.5">
      <c r="A169" s="136"/>
      <c r="B169" s="143"/>
      <c r="C169" s="143"/>
      <c r="D169" s="143"/>
      <c r="E169" s="143"/>
      <c r="F169" s="143"/>
      <c r="G169" s="143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</row>
    <row r="170" spans="1:19" ht="19.5">
      <c r="A170" s="136"/>
      <c r="B170" s="143"/>
      <c r="C170" s="143"/>
      <c r="D170" s="143"/>
      <c r="E170" s="143"/>
      <c r="F170" s="143"/>
      <c r="G170" s="143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</row>
    <row r="171" spans="1:19" ht="19.5">
      <c r="A171" s="136"/>
      <c r="B171" s="143"/>
      <c r="C171" s="143"/>
      <c r="D171" s="143"/>
      <c r="E171" s="143"/>
      <c r="F171" s="143"/>
      <c r="G171" s="143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</row>
    <row r="172" spans="1:19" ht="19.5">
      <c r="A172" s="136"/>
      <c r="B172" s="143"/>
      <c r="C172" s="143"/>
      <c r="D172" s="143"/>
      <c r="E172" s="143"/>
      <c r="F172" s="143"/>
      <c r="G172" s="143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</row>
    <row r="173" spans="1:19" ht="19.5">
      <c r="A173" s="136"/>
      <c r="B173" s="143"/>
      <c r="C173" s="143"/>
      <c r="D173" s="143"/>
      <c r="E173" s="143"/>
      <c r="F173" s="143"/>
      <c r="G173" s="143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</row>
    <row r="174" spans="1:19" ht="19.5">
      <c r="A174" s="136"/>
      <c r="B174" s="143"/>
      <c r="C174" s="143"/>
      <c r="D174" s="143"/>
      <c r="E174" s="143"/>
      <c r="F174" s="143"/>
      <c r="G174" s="143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</row>
    <row r="175" spans="1:19" ht="19.5">
      <c r="A175" s="136"/>
      <c r="B175" s="143"/>
      <c r="C175" s="143"/>
      <c r="D175" s="143"/>
      <c r="E175" s="143"/>
      <c r="F175" s="143"/>
      <c r="G175" s="143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</row>
    <row r="176" spans="1:19" ht="19.5">
      <c r="A176" s="136"/>
      <c r="B176" s="143"/>
      <c r="C176" s="143"/>
      <c r="D176" s="143"/>
      <c r="E176" s="143"/>
      <c r="F176" s="143"/>
      <c r="G176" s="143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</row>
    <row r="177" spans="1:19" ht="19.5">
      <c r="A177" s="136"/>
      <c r="B177" s="143"/>
      <c r="C177" s="143"/>
      <c r="D177" s="143"/>
      <c r="E177" s="143"/>
      <c r="F177" s="143"/>
      <c r="G177" s="143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</row>
    <row r="178" spans="1:19" ht="19.5">
      <c r="A178" s="136"/>
      <c r="B178" s="143"/>
      <c r="C178" s="143"/>
      <c r="D178" s="143"/>
      <c r="E178" s="143"/>
      <c r="F178" s="143"/>
      <c r="G178" s="143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</row>
    <row r="179" spans="1:19" ht="19.5">
      <c r="A179" s="136"/>
      <c r="B179" s="143"/>
      <c r="C179" s="143"/>
      <c r="D179" s="143"/>
      <c r="E179" s="143"/>
      <c r="F179" s="143"/>
      <c r="G179" s="143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</row>
    <row r="180" spans="1:19" ht="19.5">
      <c r="A180" s="136"/>
      <c r="B180" s="143"/>
      <c r="C180" s="143"/>
      <c r="D180" s="143"/>
      <c r="E180" s="143"/>
      <c r="F180" s="143"/>
      <c r="G180" s="143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</row>
    <row r="181" spans="1:19" ht="19.5">
      <c r="A181" s="136"/>
      <c r="B181" s="143"/>
      <c r="C181" s="143"/>
      <c r="D181" s="143"/>
      <c r="E181" s="143"/>
      <c r="F181" s="143"/>
      <c r="G181" s="143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</row>
    <row r="182" spans="1:19" ht="19.5">
      <c r="A182" s="136"/>
      <c r="B182" s="143"/>
      <c r="C182" s="143"/>
      <c r="D182" s="143"/>
      <c r="E182" s="143"/>
      <c r="F182" s="143"/>
      <c r="G182" s="143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</row>
    <row r="183" spans="1:19" ht="19.5">
      <c r="A183" s="136"/>
      <c r="B183" s="143"/>
      <c r="C183" s="143"/>
      <c r="D183" s="143"/>
      <c r="E183" s="143"/>
      <c r="F183" s="143"/>
      <c r="G183" s="143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</row>
    <row r="184" spans="1:19" ht="19.5">
      <c r="A184" s="136"/>
      <c r="B184" s="143"/>
      <c r="C184" s="143"/>
      <c r="D184" s="143"/>
      <c r="E184" s="143"/>
      <c r="F184" s="143"/>
      <c r="G184" s="143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</row>
    <row r="185" spans="1:19" ht="19.5">
      <c r="A185" s="136"/>
      <c r="B185" s="143"/>
      <c r="C185" s="143"/>
      <c r="D185" s="143"/>
      <c r="E185" s="143"/>
      <c r="F185" s="143"/>
      <c r="G185" s="143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</row>
    <row r="186" spans="1:19" ht="19.5">
      <c r="A186" s="136"/>
      <c r="B186" s="143"/>
      <c r="C186" s="143"/>
      <c r="D186" s="143"/>
      <c r="E186" s="143"/>
      <c r="F186" s="143"/>
      <c r="G186" s="143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</row>
    <row r="187" spans="1:19" ht="19.5">
      <c r="A187" s="136"/>
      <c r="B187" s="143"/>
      <c r="C187" s="143"/>
      <c r="D187" s="143"/>
      <c r="E187" s="143"/>
      <c r="F187" s="143"/>
      <c r="G187" s="143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</row>
    <row r="188" spans="1:19" ht="19.5">
      <c r="A188" s="136"/>
      <c r="B188" s="143"/>
      <c r="C188" s="143"/>
      <c r="D188" s="143"/>
      <c r="E188" s="143"/>
      <c r="F188" s="143"/>
      <c r="G188" s="143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</row>
    <row r="189" spans="1:19" ht="19.5">
      <c r="A189" s="136"/>
      <c r="B189" s="143"/>
      <c r="C189" s="143"/>
      <c r="D189" s="143"/>
      <c r="E189" s="143"/>
      <c r="F189" s="143"/>
      <c r="G189" s="143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</row>
    <row r="190" spans="1:19" ht="19.5">
      <c r="A190" s="136"/>
      <c r="B190" s="143"/>
      <c r="C190" s="143"/>
      <c r="D190" s="143"/>
      <c r="E190" s="143"/>
      <c r="F190" s="143"/>
      <c r="G190" s="143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</row>
    <row r="191" spans="1:19" ht="19.5">
      <c r="A191" s="136"/>
      <c r="B191" s="143"/>
      <c r="C191" s="143"/>
      <c r="D191" s="143"/>
      <c r="E191" s="143"/>
      <c r="F191" s="143"/>
      <c r="G191" s="143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</row>
    <row r="192" spans="1:19" ht="19.5">
      <c r="A192" s="136"/>
      <c r="B192" s="143"/>
      <c r="C192" s="143"/>
      <c r="D192" s="143"/>
      <c r="E192" s="143"/>
      <c r="F192" s="143"/>
      <c r="G192" s="143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</row>
    <row r="193" spans="1:19" ht="19.5">
      <c r="A193" s="136"/>
      <c r="B193" s="143"/>
      <c r="C193" s="143"/>
      <c r="D193" s="143"/>
      <c r="E193" s="143"/>
      <c r="F193" s="143"/>
      <c r="G193" s="143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</row>
    <row r="194" spans="1:19" ht="19.5">
      <c r="A194" s="136"/>
      <c r="B194" s="143"/>
      <c r="C194" s="143"/>
      <c r="D194" s="143"/>
      <c r="E194" s="143"/>
      <c r="F194" s="143"/>
      <c r="G194" s="143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</row>
    <row r="195" spans="1:19" ht="19.5">
      <c r="A195" s="136"/>
      <c r="B195" s="143"/>
      <c r="C195" s="143"/>
      <c r="D195" s="143"/>
      <c r="E195" s="143"/>
      <c r="F195" s="143"/>
      <c r="G195" s="143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</row>
    <row r="196" spans="1:19" ht="19.5">
      <c r="A196" s="136"/>
      <c r="B196" s="143"/>
      <c r="C196" s="143"/>
      <c r="D196" s="143"/>
      <c r="E196" s="143"/>
      <c r="F196" s="143"/>
      <c r="G196" s="143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</row>
    <row r="197" spans="1:19" ht="19.5">
      <c r="A197" s="136"/>
      <c r="B197" s="143"/>
      <c r="C197" s="143"/>
      <c r="D197" s="143"/>
      <c r="E197" s="143"/>
      <c r="F197" s="143"/>
      <c r="G197" s="143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</row>
    <row r="198" spans="1:19" ht="19.5">
      <c r="A198" s="136"/>
      <c r="B198" s="143"/>
      <c r="C198" s="143"/>
      <c r="D198" s="143"/>
      <c r="E198" s="143"/>
      <c r="F198" s="143"/>
      <c r="G198" s="143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</row>
    <row r="199" spans="1:19" ht="19.5">
      <c r="A199" s="136"/>
      <c r="B199" s="143"/>
      <c r="C199" s="143"/>
      <c r="D199" s="143"/>
      <c r="E199" s="143"/>
      <c r="F199" s="143"/>
      <c r="G199" s="143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</row>
    <row r="200" spans="1:19" ht="19.5">
      <c r="A200" s="136"/>
      <c r="B200" s="143"/>
      <c r="C200" s="143"/>
      <c r="D200" s="143"/>
      <c r="E200" s="143"/>
      <c r="F200" s="143"/>
      <c r="G200" s="143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</row>
    <row r="201" spans="1:19" ht="19.5">
      <c r="A201" s="136"/>
      <c r="B201" s="143"/>
      <c r="C201" s="143"/>
      <c r="D201" s="143"/>
      <c r="E201" s="143"/>
      <c r="F201" s="143"/>
      <c r="G201" s="143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</row>
    <row r="202" spans="1:19" ht="19.5">
      <c r="A202" s="136"/>
      <c r="B202" s="143"/>
      <c r="C202" s="143"/>
      <c r="D202" s="143"/>
      <c r="E202" s="143"/>
      <c r="F202" s="143"/>
      <c r="G202" s="143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</row>
    <row r="203" spans="1:19" ht="19.5">
      <c r="A203" s="136"/>
      <c r="B203" s="143"/>
      <c r="C203" s="143"/>
      <c r="D203" s="143"/>
      <c r="E203" s="143"/>
      <c r="F203" s="143"/>
      <c r="G203" s="143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</row>
    <row r="204" spans="1:19" ht="19.5">
      <c r="A204" s="136"/>
      <c r="B204" s="143"/>
      <c r="C204" s="143"/>
      <c r="D204" s="143"/>
      <c r="E204" s="143"/>
      <c r="F204" s="143"/>
      <c r="G204" s="143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</row>
    <row r="205" spans="1:19" ht="19.5">
      <c r="A205" s="136"/>
      <c r="B205" s="143"/>
      <c r="C205" s="143"/>
      <c r="D205" s="143"/>
      <c r="E205" s="143"/>
      <c r="F205" s="143"/>
      <c r="G205" s="143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</row>
    <row r="206" spans="1:19" ht="19.5">
      <c r="A206" s="136"/>
      <c r="B206" s="143"/>
      <c r="C206" s="143"/>
      <c r="D206" s="143"/>
      <c r="E206" s="143"/>
      <c r="F206" s="143"/>
      <c r="G206" s="143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</row>
    <row r="207" spans="1:19" ht="19.5">
      <c r="A207" s="136"/>
      <c r="B207" s="143"/>
      <c r="C207" s="143"/>
      <c r="D207" s="143"/>
      <c r="E207" s="143"/>
      <c r="F207" s="143"/>
      <c r="G207" s="143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</row>
    <row r="208" spans="1:19" ht="19.5">
      <c r="A208" s="136"/>
      <c r="B208" s="143"/>
      <c r="C208" s="143"/>
      <c r="D208" s="143"/>
      <c r="E208" s="143"/>
      <c r="F208" s="143"/>
      <c r="G208" s="143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</row>
    <row r="209" spans="1:19" ht="19.5">
      <c r="A209" s="136"/>
      <c r="B209" s="143"/>
      <c r="C209" s="143"/>
      <c r="D209" s="143"/>
      <c r="E209" s="143"/>
      <c r="F209" s="143"/>
      <c r="G209" s="143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</row>
    <row r="210" spans="1:19" ht="19.5">
      <c r="A210" s="136"/>
      <c r="B210" s="143"/>
      <c r="C210" s="143"/>
      <c r="D210" s="143"/>
      <c r="E210" s="143"/>
      <c r="F210" s="143"/>
      <c r="G210" s="143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</row>
    <row r="211" spans="1:19" ht="19.5">
      <c r="A211" s="136"/>
      <c r="B211" s="143"/>
      <c r="C211" s="143"/>
      <c r="D211" s="143"/>
      <c r="E211" s="143"/>
      <c r="F211" s="143"/>
      <c r="G211" s="143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</row>
    <row r="212" spans="1:19" ht="19.5">
      <c r="A212" s="136"/>
      <c r="B212" s="143"/>
      <c r="C212" s="143"/>
      <c r="D212" s="143"/>
      <c r="E212" s="143"/>
      <c r="F212" s="143"/>
      <c r="G212" s="143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</row>
    <row r="213" spans="1:19" ht="19.5">
      <c r="A213" s="136"/>
      <c r="B213" s="143"/>
      <c r="C213" s="143"/>
      <c r="D213" s="143"/>
      <c r="E213" s="143"/>
      <c r="F213" s="143"/>
      <c r="G213" s="143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</row>
    <row r="214" spans="1:19" ht="19.5">
      <c r="A214" s="136"/>
      <c r="B214" s="143"/>
      <c r="C214" s="143"/>
      <c r="D214" s="143"/>
      <c r="E214" s="143"/>
      <c r="F214" s="143"/>
      <c r="G214" s="143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</row>
    <row r="215" spans="1:19" ht="19.5">
      <c r="A215" s="136"/>
      <c r="B215" s="143"/>
      <c r="C215" s="143"/>
      <c r="D215" s="143"/>
      <c r="E215" s="143"/>
      <c r="F215" s="143"/>
      <c r="G215" s="143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</row>
    <row r="216" spans="1:19" ht="19.5">
      <c r="A216" s="136"/>
      <c r="B216" s="143"/>
      <c r="C216" s="143"/>
      <c r="D216" s="143"/>
      <c r="E216" s="143"/>
      <c r="F216" s="143"/>
      <c r="G216" s="143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</row>
    <row r="217" spans="1:19" ht="19.5">
      <c r="A217" s="136"/>
      <c r="B217" s="143"/>
      <c r="C217" s="143"/>
      <c r="D217" s="143"/>
      <c r="E217" s="143"/>
      <c r="F217" s="143"/>
      <c r="G217" s="143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</row>
    <row r="218" spans="1:19" ht="19.5">
      <c r="A218" s="136"/>
      <c r="B218" s="143"/>
      <c r="C218" s="143"/>
      <c r="D218" s="143"/>
      <c r="E218" s="143"/>
      <c r="F218" s="143"/>
      <c r="G218" s="143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</row>
    <row r="219" spans="1:19" ht="19.5">
      <c r="A219" s="136"/>
      <c r="B219" s="143"/>
      <c r="C219" s="143"/>
      <c r="D219" s="143"/>
      <c r="E219" s="143"/>
      <c r="F219" s="143"/>
      <c r="G219" s="143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</row>
    <row r="220" spans="1:19" ht="19.5">
      <c r="A220" s="136"/>
      <c r="B220" s="143"/>
      <c r="C220" s="143"/>
      <c r="D220" s="143"/>
      <c r="E220" s="143"/>
      <c r="F220" s="143"/>
      <c r="G220" s="143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</row>
    <row r="221" spans="1:19" ht="19.5">
      <c r="A221" s="136"/>
      <c r="B221" s="143"/>
      <c r="C221" s="143"/>
      <c r="D221" s="143"/>
      <c r="E221" s="143"/>
      <c r="F221" s="143"/>
      <c r="G221" s="143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</row>
    <row r="222" spans="1:19" ht="19.5">
      <c r="A222" s="136"/>
      <c r="B222" s="143"/>
      <c r="C222" s="143"/>
      <c r="D222" s="143"/>
      <c r="E222" s="143"/>
      <c r="F222" s="143"/>
      <c r="G222" s="143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</row>
    <row r="223" spans="1:19" ht="19.5">
      <c r="A223" s="136"/>
      <c r="B223" s="143"/>
      <c r="C223" s="143"/>
      <c r="D223" s="143"/>
      <c r="E223" s="143"/>
      <c r="F223" s="143"/>
      <c r="G223" s="143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</row>
    <row r="224" spans="1:19" ht="19.5">
      <c r="A224" s="136"/>
      <c r="B224" s="143"/>
      <c r="C224" s="143"/>
      <c r="D224" s="143"/>
      <c r="E224" s="143"/>
      <c r="F224" s="143"/>
      <c r="G224" s="143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</row>
    <row r="225" spans="1:19" ht="19.5">
      <c r="A225" s="136"/>
      <c r="B225" s="143"/>
      <c r="C225" s="143"/>
      <c r="D225" s="143"/>
      <c r="E225" s="143"/>
      <c r="F225" s="143"/>
      <c r="G225" s="143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</row>
    <row r="226" spans="1:19" ht="19.5">
      <c r="A226" s="136"/>
      <c r="B226" s="143"/>
      <c r="C226" s="143"/>
      <c r="D226" s="143"/>
      <c r="E226" s="143"/>
      <c r="F226" s="143"/>
      <c r="G226" s="143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</row>
    <row r="227" spans="1:19" ht="19.5">
      <c r="A227" s="136"/>
      <c r="B227" s="143"/>
      <c r="C227" s="143"/>
      <c r="D227" s="143"/>
      <c r="E227" s="143"/>
      <c r="F227" s="143"/>
      <c r="G227" s="143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</row>
    <row r="228" spans="1:19" ht="19.5">
      <c r="A228" s="136"/>
      <c r="B228" s="143"/>
      <c r="C228" s="143"/>
      <c r="D228" s="143"/>
      <c r="E228" s="143"/>
      <c r="F228" s="143"/>
      <c r="G228" s="143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</row>
    <row r="229" spans="1:19" ht="19.5">
      <c r="A229" s="136"/>
      <c r="B229" s="143"/>
      <c r="C229" s="143"/>
      <c r="D229" s="143"/>
      <c r="E229" s="143"/>
      <c r="F229" s="143"/>
      <c r="G229" s="143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</row>
    <row r="230" spans="1:19" ht="19.5">
      <c r="A230" s="136"/>
      <c r="B230" s="143"/>
      <c r="C230" s="143"/>
      <c r="D230" s="143"/>
      <c r="E230" s="143"/>
      <c r="F230" s="143"/>
      <c r="G230" s="143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</row>
    <row r="231" spans="1:19" ht="19.5">
      <c r="A231" s="136"/>
      <c r="B231" s="143"/>
      <c r="C231" s="143"/>
      <c r="D231" s="143"/>
      <c r="E231" s="143"/>
      <c r="F231" s="143"/>
      <c r="G231" s="143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</row>
    <row r="232" spans="1:19" ht="19.5">
      <c r="A232" s="136"/>
      <c r="B232" s="143"/>
      <c r="C232" s="143"/>
      <c r="D232" s="143"/>
      <c r="E232" s="143"/>
      <c r="F232" s="143"/>
      <c r="G232" s="143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</row>
    <row r="233" spans="1:19" ht="19.5">
      <c r="A233" s="136"/>
      <c r="B233" s="143"/>
      <c r="C233" s="143"/>
      <c r="D233" s="143"/>
      <c r="E233" s="143"/>
      <c r="F233" s="143"/>
      <c r="G233" s="143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</row>
    <row r="234" spans="1:19" ht="19.5">
      <c r="A234" s="136"/>
      <c r="B234" s="143"/>
      <c r="C234" s="143"/>
      <c r="D234" s="143"/>
      <c r="E234" s="143"/>
      <c r="F234" s="143"/>
      <c r="G234" s="143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</row>
    <row r="235" spans="1:19" ht="19.5">
      <c r="A235" s="136"/>
      <c r="B235" s="143"/>
      <c r="C235" s="143"/>
      <c r="D235" s="143"/>
      <c r="E235" s="143"/>
      <c r="F235" s="143"/>
      <c r="G235" s="143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</row>
    <row r="236" spans="1:19" ht="19.5">
      <c r="A236" s="136"/>
      <c r="B236" s="143"/>
      <c r="C236" s="143"/>
      <c r="D236" s="143"/>
      <c r="E236" s="143"/>
      <c r="F236" s="143"/>
      <c r="G236" s="143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</row>
    <row r="237" spans="1:19" ht="19.5">
      <c r="A237" s="136"/>
      <c r="B237" s="143"/>
      <c r="C237" s="143"/>
      <c r="D237" s="143"/>
      <c r="E237" s="143"/>
      <c r="F237" s="143"/>
      <c r="G237" s="143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</row>
    <row r="238" spans="1:19" ht="19.5">
      <c r="A238" s="136"/>
      <c r="B238" s="143"/>
      <c r="C238" s="143"/>
      <c r="D238" s="143"/>
      <c r="E238" s="143"/>
      <c r="F238" s="143"/>
      <c r="G238" s="143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</row>
    <row r="239" spans="1:19" ht="19.5">
      <c r="A239" s="136"/>
      <c r="B239" s="143"/>
      <c r="C239" s="143"/>
      <c r="D239" s="143"/>
      <c r="E239" s="143"/>
      <c r="F239" s="143"/>
      <c r="G239" s="143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</row>
    <row r="240" spans="1:19" ht="19.5">
      <c r="A240" s="136"/>
      <c r="B240" s="143"/>
      <c r="C240" s="143"/>
      <c r="D240" s="143"/>
      <c r="E240" s="143"/>
      <c r="F240" s="143"/>
      <c r="G240" s="143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</row>
    <row r="241" spans="1:19" ht="19.5">
      <c r="A241" s="136"/>
      <c r="B241" s="143"/>
      <c r="C241" s="143"/>
      <c r="D241" s="143"/>
      <c r="E241" s="143"/>
      <c r="F241" s="143"/>
      <c r="G241" s="143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</row>
    <row r="242" spans="1:19" ht="19.5">
      <c r="A242" s="136"/>
      <c r="B242" s="143"/>
      <c r="C242" s="143"/>
      <c r="D242" s="143"/>
      <c r="E242" s="143"/>
      <c r="F242" s="143"/>
      <c r="G242" s="143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</row>
    <row r="243" spans="1:19" ht="19.5">
      <c r="A243" s="136"/>
      <c r="B243" s="143"/>
      <c r="C243" s="143"/>
      <c r="D243" s="143"/>
      <c r="E243" s="143"/>
      <c r="F243" s="143"/>
      <c r="G243" s="143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</row>
    <row r="244" spans="1:19" ht="19.5">
      <c r="A244" s="136"/>
      <c r="B244" s="143"/>
      <c r="C244" s="143"/>
      <c r="D244" s="143"/>
      <c r="E244" s="143"/>
      <c r="F244" s="143"/>
      <c r="G244" s="143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</row>
    <row r="245" spans="1:19" ht="19.5">
      <c r="A245" s="136"/>
      <c r="B245" s="143"/>
      <c r="C245" s="143"/>
      <c r="D245" s="143"/>
      <c r="E245" s="143"/>
      <c r="F245" s="143"/>
      <c r="G245" s="143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</row>
    <row r="246" spans="1:19" ht="19.5">
      <c r="A246" s="136"/>
      <c r="B246" s="143"/>
      <c r="C246" s="143"/>
      <c r="D246" s="143"/>
      <c r="E246" s="143"/>
      <c r="F246" s="143"/>
      <c r="G246" s="143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</row>
    <row r="247" spans="1:19" ht="19.5">
      <c r="A247" s="136"/>
      <c r="B247" s="143"/>
      <c r="C247" s="143"/>
      <c r="D247" s="143"/>
      <c r="E247" s="143"/>
      <c r="F247" s="143"/>
      <c r="G247" s="143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</row>
    <row r="248" spans="1:19" ht="19.5">
      <c r="A248" s="136"/>
      <c r="B248" s="143"/>
      <c r="C248" s="143"/>
      <c r="D248" s="143"/>
      <c r="E248" s="143"/>
      <c r="F248" s="143"/>
      <c r="G248" s="143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</row>
    <row r="249" spans="1:19" ht="19.5">
      <c r="A249" s="136"/>
      <c r="B249" s="143"/>
      <c r="C249" s="143"/>
      <c r="D249" s="143"/>
      <c r="E249" s="143"/>
      <c r="F249" s="143"/>
      <c r="G249" s="143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</row>
    <row r="250" spans="1:19" ht="19.5">
      <c r="A250" s="136"/>
      <c r="B250" s="143"/>
      <c r="C250" s="143"/>
      <c r="D250" s="143"/>
      <c r="E250" s="143"/>
      <c r="F250" s="143"/>
      <c r="G250" s="143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</row>
    <row r="251" spans="1:19" ht="19.5">
      <c r="A251" s="136"/>
      <c r="B251" s="143"/>
      <c r="C251" s="143"/>
      <c r="D251" s="143"/>
      <c r="E251" s="143"/>
      <c r="F251" s="143"/>
      <c r="G251" s="143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</row>
    <row r="252" spans="1:19" ht="19.5">
      <c r="A252" s="136"/>
      <c r="B252" s="143"/>
      <c r="C252" s="143"/>
      <c r="D252" s="143"/>
      <c r="E252" s="143"/>
      <c r="F252" s="143"/>
      <c r="G252" s="143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</row>
    <row r="253" spans="1:19" ht="19.5">
      <c r="A253" s="136"/>
      <c r="B253" s="143"/>
      <c r="C253" s="143"/>
      <c r="D253" s="143"/>
      <c r="E253" s="143"/>
      <c r="F253" s="143"/>
      <c r="G253" s="143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</row>
    <row r="254" spans="1:19" ht="19.5">
      <c r="A254" s="136"/>
      <c r="B254" s="143"/>
      <c r="C254" s="143"/>
      <c r="D254" s="143"/>
      <c r="E254" s="143"/>
      <c r="F254" s="143"/>
      <c r="G254" s="143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</row>
    <row r="255" spans="1:19" ht="19.5">
      <c r="A255" s="136"/>
      <c r="B255" s="143"/>
      <c r="C255" s="143"/>
      <c r="D255" s="143"/>
      <c r="E255" s="143"/>
      <c r="F255" s="143"/>
      <c r="G255" s="143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</row>
    <row r="256" spans="1:19" ht="19.5">
      <c r="A256" s="136"/>
      <c r="B256" s="143"/>
      <c r="C256" s="143"/>
      <c r="D256" s="143"/>
      <c r="E256" s="143"/>
      <c r="F256" s="143"/>
      <c r="G256" s="143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</row>
    <row r="257" spans="1:19" ht="19.5">
      <c r="A257" s="136"/>
      <c r="B257" s="143"/>
      <c r="C257" s="143"/>
      <c r="D257" s="143"/>
      <c r="E257" s="143"/>
      <c r="F257" s="143"/>
      <c r="G257" s="143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</row>
    <row r="258" spans="1:19" ht="19.5">
      <c r="A258" s="136"/>
      <c r="B258" s="143"/>
      <c r="C258" s="143"/>
      <c r="D258" s="143"/>
      <c r="E258" s="143"/>
      <c r="F258" s="143"/>
      <c r="G258" s="143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</row>
    <row r="259" spans="1:19" ht="19.5">
      <c r="A259" s="136"/>
      <c r="B259" s="143"/>
      <c r="C259" s="143"/>
      <c r="D259" s="143"/>
      <c r="E259" s="143"/>
      <c r="F259" s="143"/>
      <c r="G259" s="143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</row>
    <row r="260" spans="1:19" ht="19.5">
      <c r="A260" s="136"/>
      <c r="B260" s="143"/>
      <c r="C260" s="143"/>
      <c r="D260" s="143"/>
      <c r="E260" s="143"/>
      <c r="F260" s="143"/>
      <c r="G260" s="143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</row>
    <row r="261" spans="1:19" ht="19.5">
      <c r="A261" s="136"/>
      <c r="B261" s="143"/>
      <c r="C261" s="143"/>
      <c r="D261" s="143"/>
      <c r="E261" s="143"/>
      <c r="F261" s="143"/>
      <c r="G261" s="143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</row>
    <row r="262" spans="1:19" ht="19.5">
      <c r="A262" s="136"/>
      <c r="B262" s="143"/>
      <c r="C262" s="143"/>
      <c r="D262" s="143"/>
      <c r="E262" s="143"/>
      <c r="F262" s="143"/>
      <c r="G262" s="143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</row>
    <row r="263" spans="1:19" ht="19.5">
      <c r="A263" s="136"/>
      <c r="B263" s="143"/>
      <c r="C263" s="143"/>
      <c r="D263" s="143"/>
      <c r="E263" s="143"/>
      <c r="F263" s="143"/>
      <c r="G263" s="143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</row>
    <row r="264" spans="1:19" ht="19.5">
      <c r="A264" s="136"/>
      <c r="B264" s="143"/>
      <c r="C264" s="143"/>
      <c r="D264" s="143"/>
      <c r="E264" s="143"/>
      <c r="F264" s="143"/>
      <c r="G264" s="143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</row>
    <row r="265" spans="1:19" ht="19.5">
      <c r="A265" s="136"/>
      <c r="B265" s="143"/>
      <c r="C265" s="143"/>
      <c r="D265" s="143"/>
      <c r="E265" s="143"/>
      <c r="F265" s="143"/>
      <c r="G265" s="143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</row>
    <row r="266" spans="1:19" ht="19.5">
      <c r="A266" s="136"/>
      <c r="B266" s="143"/>
      <c r="C266" s="143"/>
      <c r="D266" s="143"/>
      <c r="E266" s="143"/>
      <c r="F266" s="143"/>
      <c r="G266" s="143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</row>
    <row r="267" spans="1:19" ht="19.5">
      <c r="A267" s="136"/>
      <c r="B267" s="143"/>
      <c r="C267" s="143"/>
      <c r="D267" s="143"/>
      <c r="E267" s="143"/>
      <c r="F267" s="143"/>
      <c r="G267" s="143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</row>
    <row r="268" spans="1:19" ht="19.5">
      <c r="A268" s="136"/>
      <c r="B268" s="143"/>
      <c r="C268" s="143"/>
      <c r="D268" s="143"/>
      <c r="E268" s="143"/>
      <c r="F268" s="143"/>
      <c r="G268" s="143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</row>
    <row r="269" spans="1:19" ht="19.5">
      <c r="A269" s="136"/>
      <c r="B269" s="143"/>
      <c r="C269" s="143"/>
      <c r="D269" s="143"/>
      <c r="E269" s="143"/>
      <c r="F269" s="143"/>
      <c r="G269" s="143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</row>
    <row r="270" spans="1:19" ht="19.5">
      <c r="A270" s="136"/>
      <c r="B270" s="143"/>
      <c r="C270" s="143"/>
      <c r="D270" s="143"/>
      <c r="E270" s="143"/>
      <c r="F270" s="143"/>
      <c r="G270" s="143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</row>
    <row r="271" spans="1:19" ht="19.5">
      <c r="A271" s="136"/>
      <c r="B271" s="143"/>
      <c r="C271" s="143"/>
      <c r="D271" s="143"/>
      <c r="E271" s="143"/>
      <c r="F271" s="143"/>
      <c r="G271" s="143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</row>
    <row r="272" spans="1:19" ht="19.5">
      <c r="A272" s="136"/>
      <c r="B272" s="143"/>
      <c r="C272" s="143"/>
      <c r="D272" s="143"/>
      <c r="E272" s="143"/>
      <c r="F272" s="143"/>
      <c r="G272" s="143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</row>
    <row r="273" spans="1:19" ht="19.5">
      <c r="A273" s="136"/>
      <c r="B273" s="143"/>
      <c r="C273" s="143"/>
      <c r="D273" s="143"/>
      <c r="E273" s="143"/>
      <c r="F273" s="143"/>
      <c r="G273" s="143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</row>
    <row r="274" spans="1:19" ht="19.5">
      <c r="A274" s="136"/>
      <c r="B274" s="143"/>
      <c r="C274" s="143"/>
      <c r="D274" s="143"/>
      <c r="E274" s="143"/>
      <c r="F274" s="143"/>
      <c r="G274" s="143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</row>
    <row r="275" spans="1:19" ht="19.5">
      <c r="A275" s="136"/>
      <c r="B275" s="143"/>
      <c r="C275" s="143"/>
      <c r="D275" s="143"/>
      <c r="E275" s="143"/>
      <c r="F275" s="143"/>
      <c r="G275" s="143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</row>
    <row r="276" spans="1:19" ht="19.5">
      <c r="A276" s="136"/>
      <c r="B276" s="143"/>
      <c r="C276" s="143"/>
      <c r="D276" s="143"/>
      <c r="E276" s="143"/>
      <c r="F276" s="143"/>
      <c r="G276" s="143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</row>
    <row r="277" spans="1:19" ht="19.5">
      <c r="A277" s="136"/>
      <c r="B277" s="143"/>
      <c r="C277" s="143"/>
      <c r="D277" s="143"/>
      <c r="E277" s="143"/>
      <c r="F277" s="143"/>
      <c r="G277" s="143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</row>
    <row r="278" spans="1:19" ht="19.5">
      <c r="A278" s="136"/>
      <c r="B278" s="143"/>
      <c r="C278" s="143"/>
      <c r="D278" s="143"/>
      <c r="E278" s="143"/>
      <c r="F278" s="143"/>
      <c r="G278" s="143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</row>
    <row r="279" spans="1:19" ht="19.5">
      <c r="A279" s="136"/>
      <c r="B279" s="143"/>
      <c r="C279" s="143"/>
      <c r="D279" s="143"/>
      <c r="E279" s="143"/>
      <c r="F279" s="143"/>
      <c r="G279" s="143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</row>
    <row r="280" spans="1:19" ht="19.5">
      <c r="A280" s="136"/>
      <c r="B280" s="143"/>
      <c r="C280" s="143"/>
      <c r="D280" s="143"/>
      <c r="E280" s="143"/>
      <c r="F280" s="143"/>
      <c r="G280" s="143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</row>
    <row r="281" spans="1:19" ht="19.5">
      <c r="A281" s="136"/>
      <c r="B281" s="143"/>
      <c r="C281" s="143"/>
      <c r="D281" s="143"/>
      <c r="E281" s="143"/>
      <c r="F281" s="143"/>
      <c r="G281" s="143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</row>
    <row r="282" spans="1:19" ht="19.5">
      <c r="A282" s="136"/>
      <c r="B282" s="143"/>
      <c r="C282" s="143"/>
      <c r="D282" s="143"/>
      <c r="E282" s="143"/>
      <c r="F282" s="143"/>
      <c r="G282" s="143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</row>
    <row r="283" spans="1:19" ht="19.5">
      <c r="A283" s="136"/>
      <c r="B283" s="143"/>
      <c r="C283" s="143"/>
      <c r="D283" s="143"/>
      <c r="E283" s="143"/>
      <c r="F283" s="143"/>
      <c r="G283" s="143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</row>
    <row r="284" spans="1:19" ht="19.5">
      <c r="A284" s="136"/>
      <c r="B284" s="143"/>
      <c r="C284" s="143"/>
      <c r="D284" s="143"/>
      <c r="E284" s="143"/>
      <c r="F284" s="143"/>
      <c r="G284" s="143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</row>
    <row r="285" spans="1:19" ht="19.5">
      <c r="A285" s="136"/>
      <c r="B285" s="143"/>
      <c r="C285" s="143"/>
      <c r="D285" s="143"/>
      <c r="E285" s="143"/>
      <c r="F285" s="143"/>
      <c r="G285" s="143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</row>
    <row r="286" spans="1:19" ht="19.5">
      <c r="A286" s="136"/>
      <c r="B286" s="143"/>
      <c r="C286" s="143"/>
      <c r="D286" s="143"/>
      <c r="E286" s="143"/>
      <c r="F286" s="143"/>
      <c r="G286" s="143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</row>
    <row r="287" spans="1:19" ht="19.5">
      <c r="A287" s="136"/>
      <c r="B287" s="143"/>
      <c r="C287" s="143"/>
      <c r="D287" s="143"/>
      <c r="E287" s="143"/>
      <c r="F287" s="143"/>
      <c r="G287" s="143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</row>
    <row r="288" spans="1:19" ht="19.5">
      <c r="A288" s="136"/>
      <c r="B288" s="143"/>
      <c r="C288" s="143"/>
      <c r="D288" s="143"/>
      <c r="E288" s="143"/>
      <c r="F288" s="143"/>
      <c r="G288" s="143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</row>
    <row r="289" spans="1:19" ht="19.5">
      <c r="A289" s="136"/>
      <c r="B289" s="143"/>
      <c r="C289" s="143"/>
      <c r="D289" s="143"/>
      <c r="E289" s="143"/>
      <c r="F289" s="143"/>
      <c r="G289" s="143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</row>
    <row r="290" spans="1:19" ht="19.5">
      <c r="A290" s="136"/>
      <c r="B290" s="143"/>
      <c r="C290" s="143"/>
      <c r="D290" s="143"/>
      <c r="E290" s="143"/>
      <c r="F290" s="143"/>
      <c r="G290" s="143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</row>
    <row r="291" spans="1:19" ht="19.5">
      <c r="A291" s="136"/>
      <c r="B291" s="143"/>
      <c r="C291" s="143"/>
      <c r="D291" s="143"/>
      <c r="E291" s="143"/>
      <c r="F291" s="143"/>
      <c r="G291" s="143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</row>
    <row r="292" spans="1:19" ht="19.5">
      <c r="A292" s="136"/>
      <c r="B292" s="143"/>
      <c r="C292" s="143"/>
      <c r="D292" s="143"/>
      <c r="E292" s="143"/>
      <c r="F292" s="143"/>
      <c r="G292" s="143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</row>
    <row r="293" spans="1:19" ht="19.5">
      <c r="A293" s="136"/>
      <c r="B293" s="143"/>
      <c r="C293" s="143"/>
      <c r="D293" s="143"/>
      <c r="E293" s="143"/>
      <c r="F293" s="143"/>
      <c r="G293" s="143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</row>
    <row r="294" spans="1:19" ht="19.5">
      <c r="A294" s="136"/>
      <c r="B294" s="143"/>
      <c r="C294" s="143"/>
      <c r="D294" s="143"/>
      <c r="E294" s="143"/>
      <c r="F294" s="143"/>
      <c r="G294" s="143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</row>
    <row r="295" spans="1:19" ht="19.5">
      <c r="A295" s="136"/>
      <c r="B295" s="143"/>
      <c r="C295" s="143"/>
      <c r="D295" s="143"/>
      <c r="E295" s="143"/>
      <c r="F295" s="143"/>
      <c r="G295" s="143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</row>
    <row r="296" spans="1:19" ht="19.5">
      <c r="A296" s="136"/>
      <c r="B296" s="143"/>
      <c r="C296" s="143"/>
      <c r="D296" s="143"/>
      <c r="E296" s="143"/>
      <c r="F296" s="143"/>
      <c r="G296" s="143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</row>
    <row r="297" spans="1:19" ht="19.5">
      <c r="A297" s="136"/>
      <c r="B297" s="143"/>
      <c r="C297" s="143"/>
      <c r="D297" s="143"/>
      <c r="E297" s="143"/>
      <c r="F297" s="143"/>
      <c r="G297" s="143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</row>
    <row r="298" spans="1:19" ht="19.5">
      <c r="A298" s="136"/>
      <c r="B298" s="143"/>
      <c r="C298" s="143"/>
      <c r="D298" s="143"/>
      <c r="E298" s="143"/>
      <c r="F298" s="143"/>
      <c r="G298" s="143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</row>
    <row r="299" spans="1:19" ht="19.5">
      <c r="A299" s="136"/>
      <c r="B299" s="143"/>
      <c r="C299" s="143"/>
      <c r="D299" s="143"/>
      <c r="E299" s="143"/>
      <c r="F299" s="143"/>
      <c r="G299" s="143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</row>
    <row r="300" spans="1:19" ht="19.5">
      <c r="A300" s="136"/>
      <c r="B300" s="143"/>
      <c r="C300" s="143"/>
      <c r="D300" s="143"/>
      <c r="E300" s="143"/>
      <c r="F300" s="143"/>
      <c r="G300" s="143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</row>
    <row r="301" spans="1:19" ht="19.5">
      <c r="A301" s="136"/>
      <c r="B301" s="143"/>
      <c r="C301" s="143"/>
      <c r="D301" s="143"/>
      <c r="E301" s="143"/>
      <c r="F301" s="143"/>
      <c r="G301" s="143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</row>
    <row r="302" spans="1:19" ht="19.5">
      <c r="A302" s="136"/>
      <c r="B302" s="143"/>
      <c r="C302" s="143"/>
      <c r="D302" s="143"/>
      <c r="E302" s="143"/>
      <c r="F302" s="143"/>
      <c r="G302" s="143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</row>
    <row r="303" spans="1:19" ht="19.5">
      <c r="A303" s="136"/>
      <c r="B303" s="143"/>
      <c r="C303" s="143"/>
      <c r="D303" s="143"/>
      <c r="E303" s="143"/>
      <c r="F303" s="143"/>
      <c r="G303" s="143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</row>
    <row r="304" spans="1:19" ht="19.5">
      <c r="A304" s="136"/>
      <c r="B304" s="143"/>
      <c r="C304" s="143"/>
      <c r="D304" s="143"/>
      <c r="E304" s="143"/>
      <c r="F304" s="143"/>
      <c r="G304" s="143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</row>
    <row r="305" spans="1:19" ht="19.5">
      <c r="A305" s="136"/>
      <c r="B305" s="143"/>
      <c r="C305" s="143"/>
      <c r="D305" s="143"/>
      <c r="E305" s="143"/>
      <c r="F305" s="143"/>
      <c r="G305" s="143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</row>
    <row r="306" spans="1:19" ht="19.5">
      <c r="A306" s="136"/>
      <c r="B306" s="143"/>
      <c r="C306" s="143"/>
      <c r="D306" s="143"/>
      <c r="E306" s="143"/>
      <c r="F306" s="143"/>
      <c r="G306" s="143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</row>
    <row r="307" spans="1:19" ht="19.5">
      <c r="A307" s="136"/>
      <c r="B307" s="143"/>
      <c r="C307" s="143"/>
      <c r="D307" s="143"/>
      <c r="E307" s="143"/>
      <c r="F307" s="143"/>
      <c r="G307" s="143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</row>
    <row r="308" spans="1:19" ht="19.5">
      <c r="A308" s="136"/>
      <c r="B308" s="143"/>
      <c r="C308" s="143"/>
      <c r="D308" s="143"/>
      <c r="E308" s="143"/>
      <c r="F308" s="143"/>
      <c r="G308" s="143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</row>
    <row r="309" spans="1:19" ht="19.5">
      <c r="A309" s="136"/>
      <c r="B309" s="143"/>
      <c r="C309" s="143"/>
      <c r="D309" s="143"/>
      <c r="E309" s="143"/>
      <c r="F309" s="143"/>
      <c r="G309" s="143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</row>
    <row r="310" spans="1:19" ht="19.5">
      <c r="A310" s="136"/>
      <c r="B310" s="143"/>
      <c r="C310" s="143"/>
      <c r="D310" s="143"/>
      <c r="E310" s="143"/>
      <c r="F310" s="143"/>
      <c r="G310" s="143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</row>
    <row r="311" spans="1:19" ht="19.5">
      <c r="A311" s="136"/>
      <c r="B311" s="143"/>
      <c r="C311" s="143"/>
      <c r="D311" s="143"/>
      <c r="E311" s="143"/>
      <c r="F311" s="143"/>
      <c r="G311" s="143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</row>
    <row r="312" spans="1:19" ht="19.5">
      <c r="A312" s="136"/>
      <c r="B312" s="143"/>
      <c r="C312" s="143"/>
      <c r="D312" s="143"/>
      <c r="E312" s="143"/>
      <c r="F312" s="143"/>
      <c r="G312" s="143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</row>
    <row r="313" spans="1:19" ht="19.5">
      <c r="A313" s="136"/>
      <c r="B313" s="143"/>
      <c r="C313" s="143"/>
      <c r="D313" s="143"/>
      <c r="E313" s="143"/>
      <c r="F313" s="143"/>
      <c r="G313" s="143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</row>
    <row r="314" spans="1:19" ht="19.5">
      <c r="A314" s="136"/>
      <c r="B314" s="143"/>
      <c r="C314" s="143"/>
      <c r="D314" s="143"/>
      <c r="E314" s="143"/>
      <c r="F314" s="143"/>
      <c r="G314" s="143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</row>
    <row r="315" spans="1:19" ht="19.5">
      <c r="A315" s="136"/>
      <c r="B315" s="143"/>
      <c r="C315" s="143"/>
      <c r="D315" s="143"/>
      <c r="E315" s="143"/>
      <c r="F315" s="143"/>
      <c r="G315" s="143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</row>
    <row r="316" spans="1:19" ht="19.5">
      <c r="A316" s="136"/>
      <c r="B316" s="143"/>
      <c r="C316" s="143"/>
      <c r="D316" s="143"/>
      <c r="E316" s="143"/>
      <c r="F316" s="143"/>
      <c r="G316" s="143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</row>
    <row r="317" spans="1:19" ht="19.5">
      <c r="A317" s="136"/>
      <c r="B317" s="143"/>
      <c r="C317" s="143"/>
      <c r="D317" s="143"/>
      <c r="E317" s="143"/>
      <c r="F317" s="143"/>
      <c r="G317" s="143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</row>
    <row r="318" spans="1:19" ht="19.5">
      <c r="A318" s="136"/>
      <c r="B318" s="143"/>
      <c r="C318" s="143"/>
      <c r="D318" s="143"/>
      <c r="E318" s="143"/>
      <c r="F318" s="143"/>
      <c r="G318" s="143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</row>
    <row r="319" spans="1:19" ht="19.5">
      <c r="A319" s="136"/>
      <c r="B319" s="143"/>
      <c r="C319" s="143"/>
      <c r="D319" s="143"/>
      <c r="E319" s="143"/>
      <c r="F319" s="143"/>
      <c r="G319" s="143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</row>
    <row r="320" spans="1:19" ht="19.5">
      <c r="A320" s="136"/>
      <c r="B320" s="143"/>
      <c r="C320" s="143"/>
      <c r="D320" s="143"/>
      <c r="E320" s="143"/>
      <c r="F320" s="143"/>
      <c r="G320" s="143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</row>
    <row r="321" spans="1:19" ht="19.5">
      <c r="A321" s="136"/>
      <c r="B321" s="143"/>
      <c r="C321" s="143"/>
      <c r="D321" s="143"/>
      <c r="E321" s="143"/>
      <c r="F321" s="143"/>
      <c r="G321" s="143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</row>
    <row r="322" spans="1:19" ht="19.5">
      <c r="A322" s="136"/>
      <c r="B322" s="143"/>
      <c r="C322" s="143"/>
      <c r="D322" s="143"/>
      <c r="E322" s="143"/>
      <c r="F322" s="143"/>
      <c r="G322" s="143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</row>
    <row r="323" spans="1:19" ht="19.5">
      <c r="A323" s="136"/>
      <c r="B323" s="143"/>
      <c r="C323" s="143"/>
      <c r="D323" s="143"/>
      <c r="E323" s="143"/>
      <c r="F323" s="143"/>
      <c r="G323" s="143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</row>
    <row r="324" spans="1:19" ht="19.5">
      <c r="A324" s="136"/>
      <c r="B324" s="143"/>
      <c r="C324" s="143"/>
      <c r="D324" s="143"/>
      <c r="E324" s="143"/>
      <c r="F324" s="143"/>
      <c r="G324" s="143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</row>
    <row r="325" spans="1:19" ht="19.5">
      <c r="A325" s="136"/>
      <c r="B325" s="143"/>
      <c r="C325" s="143"/>
      <c r="D325" s="143"/>
      <c r="E325" s="143"/>
      <c r="F325" s="143"/>
      <c r="G325" s="143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</row>
    <row r="326" spans="1:19" ht="19.5">
      <c r="A326" s="136"/>
      <c r="B326" s="143"/>
      <c r="C326" s="143"/>
      <c r="D326" s="143"/>
      <c r="E326" s="143"/>
      <c r="F326" s="143"/>
      <c r="G326" s="143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</row>
    <row r="327" spans="1:19" ht="19.5">
      <c r="A327" s="136"/>
      <c r="B327" s="143"/>
      <c r="C327" s="143"/>
      <c r="D327" s="143"/>
      <c r="E327" s="143"/>
      <c r="F327" s="143"/>
      <c r="G327" s="143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</row>
    <row r="328" spans="1:19" ht="19.5">
      <c r="A328" s="136"/>
      <c r="B328" s="143"/>
      <c r="C328" s="143"/>
      <c r="D328" s="143"/>
      <c r="E328" s="143"/>
      <c r="F328" s="143"/>
      <c r="G328" s="143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</row>
    <row r="329" spans="1:19" ht="19.5">
      <c r="A329" s="136"/>
      <c r="B329" s="143"/>
      <c r="C329" s="143"/>
      <c r="D329" s="143"/>
      <c r="E329" s="143"/>
      <c r="F329" s="143"/>
      <c r="G329" s="143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</row>
    <row r="330" spans="1:19" ht="19.5">
      <c r="A330" s="136"/>
      <c r="B330" s="143"/>
      <c r="C330" s="143"/>
      <c r="D330" s="143"/>
      <c r="E330" s="143"/>
      <c r="F330" s="143"/>
      <c r="G330" s="143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</row>
    <row r="331" spans="1:19" ht="19.5">
      <c r="A331" s="136"/>
      <c r="B331" s="143"/>
      <c r="C331" s="143"/>
      <c r="D331" s="143"/>
      <c r="E331" s="143"/>
      <c r="F331" s="143"/>
      <c r="G331" s="143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</row>
    <row r="332" spans="1:19" ht="19.5">
      <c r="A332" s="136"/>
      <c r="B332" s="143"/>
      <c r="C332" s="143"/>
      <c r="D332" s="143"/>
      <c r="E332" s="143"/>
      <c r="F332" s="143"/>
      <c r="G332" s="143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</row>
    <row r="333" spans="1:19" ht="19.5">
      <c r="A333" s="136"/>
      <c r="B333" s="143"/>
      <c r="C333" s="143"/>
      <c r="D333" s="143"/>
      <c r="E333" s="143"/>
      <c r="F333" s="143"/>
      <c r="G333" s="143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</row>
    <row r="334" spans="1:19" ht="19.5">
      <c r="A334" s="136"/>
      <c r="B334" s="143"/>
      <c r="C334" s="143"/>
      <c r="D334" s="143"/>
      <c r="E334" s="143"/>
      <c r="F334" s="143"/>
      <c r="G334" s="143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</row>
    <row r="335" spans="1:19" ht="19.5">
      <c r="A335" s="136"/>
      <c r="B335" s="143"/>
      <c r="C335" s="143"/>
      <c r="D335" s="143"/>
      <c r="E335" s="143"/>
      <c r="F335" s="143"/>
      <c r="G335" s="143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</row>
    <row r="336" spans="1:19" ht="19.5">
      <c r="A336" s="136"/>
      <c r="B336" s="143"/>
      <c r="C336" s="143"/>
      <c r="D336" s="143"/>
      <c r="E336" s="143"/>
      <c r="F336" s="143"/>
      <c r="G336" s="143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</row>
    <row r="337" spans="1:19" ht="19.5">
      <c r="A337" s="136"/>
      <c r="B337" s="143"/>
      <c r="C337" s="143"/>
      <c r="D337" s="143"/>
      <c r="E337" s="143"/>
      <c r="F337" s="143"/>
      <c r="G337" s="143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</row>
    <row r="338" spans="1:19" ht="19.5">
      <c r="A338" s="136"/>
      <c r="B338" s="143"/>
      <c r="C338" s="143"/>
      <c r="D338" s="143"/>
      <c r="E338" s="143"/>
      <c r="F338" s="143"/>
      <c r="G338" s="143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</row>
    <row r="339" spans="1:19" ht="19.5">
      <c r="A339" s="136"/>
      <c r="B339" s="143"/>
      <c r="C339" s="143"/>
      <c r="D339" s="143"/>
      <c r="E339" s="143"/>
      <c r="F339" s="143"/>
      <c r="G339" s="143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</row>
    <row r="340" spans="1:19" ht="19.5">
      <c r="A340" s="136"/>
      <c r="B340" s="143"/>
      <c r="C340" s="143"/>
      <c r="D340" s="143"/>
      <c r="E340" s="143"/>
      <c r="F340" s="143"/>
      <c r="G340" s="143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</row>
    <row r="341" spans="1:19" ht="19.5">
      <c r="A341" s="136"/>
      <c r="B341" s="143"/>
      <c r="C341" s="143"/>
      <c r="D341" s="143"/>
      <c r="E341" s="143"/>
      <c r="F341" s="143"/>
      <c r="G341" s="143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</row>
    <row r="342" spans="1:19" ht="19.5">
      <c r="A342" s="136"/>
      <c r="B342" s="143"/>
      <c r="C342" s="143"/>
      <c r="D342" s="143"/>
      <c r="E342" s="143"/>
      <c r="F342" s="143"/>
      <c r="G342" s="143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</row>
    <row r="343" spans="1:19" ht="19.5">
      <c r="A343" s="136"/>
      <c r="B343" s="143"/>
      <c r="C343" s="143"/>
      <c r="D343" s="143"/>
      <c r="E343" s="143"/>
      <c r="F343" s="143"/>
      <c r="G343" s="143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</row>
    <row r="344" spans="1:19" ht="19.5">
      <c r="A344" s="136"/>
      <c r="B344" s="143"/>
      <c r="C344" s="143"/>
      <c r="D344" s="143"/>
      <c r="E344" s="143"/>
      <c r="F344" s="143"/>
      <c r="G344" s="143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</row>
    <row r="345" spans="1:19" ht="19.5">
      <c r="A345" s="136"/>
      <c r="B345" s="143"/>
      <c r="C345" s="143"/>
      <c r="D345" s="143"/>
      <c r="E345" s="143"/>
      <c r="F345" s="143"/>
      <c r="G345" s="143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</row>
    <row r="346" spans="1:19" ht="19.5">
      <c r="A346" s="136"/>
      <c r="B346" s="143"/>
      <c r="C346" s="143"/>
      <c r="D346" s="143"/>
      <c r="E346" s="143"/>
      <c r="F346" s="143"/>
      <c r="G346" s="143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</row>
    <row r="347" spans="1:19" ht="19.5">
      <c r="A347" s="136"/>
      <c r="B347" s="143"/>
      <c r="C347" s="143"/>
      <c r="D347" s="143"/>
      <c r="E347" s="143"/>
      <c r="F347" s="143"/>
      <c r="G347" s="143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</row>
    <row r="348" spans="1:19" ht="19.5">
      <c r="A348" s="136"/>
      <c r="B348" s="143"/>
      <c r="C348" s="143"/>
      <c r="D348" s="143"/>
      <c r="E348" s="143"/>
      <c r="F348" s="143"/>
      <c r="G348" s="143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</row>
    <row r="349" spans="1:19" ht="19.5">
      <c r="A349" s="136"/>
      <c r="B349" s="143"/>
      <c r="C349" s="143"/>
      <c r="D349" s="143"/>
      <c r="E349" s="143"/>
      <c r="F349" s="143"/>
      <c r="G349" s="143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</row>
    <row r="350" spans="1:19" ht="19.5">
      <c r="A350" s="136"/>
      <c r="B350" s="143"/>
      <c r="C350" s="143"/>
      <c r="D350" s="143"/>
      <c r="E350" s="143"/>
      <c r="F350" s="143"/>
      <c r="G350" s="143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</row>
    <row r="351" spans="1:19" ht="19.5">
      <c r="A351" s="136"/>
      <c r="B351" s="143"/>
      <c r="C351" s="143"/>
      <c r="D351" s="143"/>
      <c r="E351" s="143"/>
      <c r="F351" s="143"/>
      <c r="G351" s="143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</row>
    <row r="352" spans="1:19" ht="19.5">
      <c r="A352" s="136"/>
      <c r="B352" s="143"/>
      <c r="C352" s="143"/>
      <c r="D352" s="143"/>
      <c r="E352" s="143"/>
      <c r="F352" s="143"/>
      <c r="G352" s="143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</row>
    <row r="353" spans="1:19" ht="19.5">
      <c r="A353" s="136"/>
      <c r="B353" s="143"/>
      <c r="C353" s="143"/>
      <c r="D353" s="143"/>
      <c r="E353" s="143"/>
      <c r="F353" s="143"/>
      <c r="G353" s="143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</row>
    <row r="354" spans="1:19" ht="19.5">
      <c r="A354" s="136"/>
      <c r="B354" s="143"/>
      <c r="C354" s="143"/>
      <c r="D354" s="143"/>
      <c r="E354" s="143"/>
      <c r="F354" s="143"/>
      <c r="G354" s="143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</row>
    <row r="355" spans="1:19" ht="19.5">
      <c r="A355" s="136"/>
      <c r="B355" s="143"/>
      <c r="C355" s="143"/>
      <c r="D355" s="143"/>
      <c r="E355" s="143"/>
      <c r="F355" s="143"/>
      <c r="G355" s="143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</row>
    <row r="356" spans="1:19" ht="19.5">
      <c r="A356" s="136"/>
      <c r="B356" s="143"/>
      <c r="C356" s="143"/>
      <c r="D356" s="143"/>
      <c r="E356" s="143"/>
      <c r="F356" s="143"/>
      <c r="G356" s="143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</row>
    <row r="357" spans="1:19" ht="19.5">
      <c r="A357" s="136"/>
      <c r="B357" s="143"/>
      <c r="C357" s="143"/>
      <c r="D357" s="143"/>
      <c r="E357" s="143"/>
      <c r="F357" s="143"/>
      <c r="G357" s="143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</row>
    <row r="358" spans="1:19" ht="19.5">
      <c r="A358" s="136"/>
      <c r="B358" s="143"/>
      <c r="C358" s="143"/>
      <c r="D358" s="143"/>
      <c r="E358" s="143"/>
      <c r="F358" s="143"/>
      <c r="G358" s="143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</row>
    <row r="359" spans="1:19" ht="19.5">
      <c r="A359" s="136"/>
      <c r="B359" s="143"/>
      <c r="C359" s="143"/>
      <c r="D359" s="143"/>
      <c r="E359" s="143"/>
      <c r="F359" s="143"/>
      <c r="G359" s="143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</row>
    <row r="360" spans="1:19" ht="19.5">
      <c r="A360" s="136"/>
      <c r="B360" s="143"/>
      <c r="C360" s="143"/>
      <c r="D360" s="143"/>
      <c r="E360" s="143"/>
      <c r="F360" s="143"/>
      <c r="G360" s="143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</row>
    <row r="361" spans="1:19" ht="19.5">
      <c r="A361" s="136"/>
      <c r="B361" s="143"/>
      <c r="C361" s="143"/>
      <c r="D361" s="143"/>
      <c r="E361" s="143"/>
      <c r="F361" s="143"/>
      <c r="G361" s="143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</row>
    <row r="362" spans="1:19" ht="19.5">
      <c r="A362" s="136"/>
      <c r="B362" s="143"/>
      <c r="C362" s="143"/>
      <c r="D362" s="143"/>
      <c r="E362" s="143"/>
      <c r="F362" s="143"/>
      <c r="G362" s="143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</row>
    <row r="363" spans="1:19" ht="19.5">
      <c r="A363" s="136"/>
      <c r="B363" s="143"/>
      <c r="C363" s="143"/>
      <c r="D363" s="143"/>
      <c r="E363" s="143"/>
      <c r="F363" s="143"/>
      <c r="G363" s="143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</row>
    <row r="364" spans="1:19" ht="19.5">
      <c r="A364" s="136"/>
      <c r="B364" s="143"/>
      <c r="C364" s="143"/>
      <c r="D364" s="143"/>
      <c r="E364" s="143"/>
      <c r="F364" s="143"/>
      <c r="G364" s="143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</row>
    <row r="365" spans="1:19" ht="19.5">
      <c r="A365" s="136"/>
      <c r="B365" s="143"/>
      <c r="C365" s="143"/>
      <c r="D365" s="143"/>
      <c r="E365" s="143"/>
      <c r="F365" s="143"/>
      <c r="G365" s="143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</row>
    <row r="366" spans="1:19" ht="19.5">
      <c r="A366" s="136"/>
      <c r="B366" s="143"/>
      <c r="C366" s="143"/>
      <c r="D366" s="143"/>
      <c r="E366" s="143"/>
      <c r="F366" s="143"/>
      <c r="G366" s="143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</row>
    <row r="367" spans="1:19" ht="19.5">
      <c r="A367" s="136"/>
      <c r="B367" s="143"/>
      <c r="C367" s="143"/>
      <c r="D367" s="143"/>
      <c r="E367" s="143"/>
      <c r="F367" s="143"/>
      <c r="G367" s="143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</row>
    <row r="368" spans="1:19" ht="19.5">
      <c r="A368" s="136"/>
      <c r="B368" s="143"/>
      <c r="C368" s="143"/>
      <c r="D368" s="143"/>
      <c r="E368" s="143"/>
      <c r="F368" s="143"/>
      <c r="G368" s="143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</row>
    <row r="369" spans="1:19" ht="19.5">
      <c r="A369" s="136"/>
      <c r="B369" s="143"/>
      <c r="C369" s="143"/>
      <c r="D369" s="143"/>
      <c r="E369" s="143"/>
      <c r="F369" s="143"/>
      <c r="G369" s="143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</row>
    <row r="370" spans="1:19" ht="19.5">
      <c r="A370" s="136"/>
      <c r="B370" s="143"/>
      <c r="C370" s="143"/>
      <c r="D370" s="143"/>
      <c r="E370" s="143"/>
      <c r="F370" s="143"/>
      <c r="G370" s="143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</row>
    <row r="371" spans="1:19" ht="19.5">
      <c r="A371" s="136"/>
      <c r="B371" s="143"/>
      <c r="C371" s="143"/>
      <c r="D371" s="143"/>
      <c r="E371" s="143"/>
      <c r="F371" s="143"/>
      <c r="G371" s="143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</row>
    <row r="372" spans="1:19" ht="19.5">
      <c r="A372" s="136"/>
      <c r="B372" s="143"/>
      <c r="C372" s="143"/>
      <c r="D372" s="143"/>
      <c r="E372" s="143"/>
      <c r="F372" s="143"/>
      <c r="G372" s="143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</row>
    <row r="373" spans="1:19" ht="19.5">
      <c r="A373" s="136"/>
      <c r="B373" s="143"/>
      <c r="C373" s="143"/>
      <c r="D373" s="143"/>
      <c r="E373" s="143"/>
      <c r="F373" s="143"/>
      <c r="G373" s="143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</row>
    <row r="374" spans="1:19" ht="19.5">
      <c r="A374" s="136"/>
      <c r="B374" s="143"/>
      <c r="C374" s="143"/>
      <c r="D374" s="143"/>
      <c r="E374" s="143"/>
      <c r="F374" s="143"/>
      <c r="G374" s="143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</row>
    <row r="375" spans="1:19" ht="19.5">
      <c r="A375" s="136"/>
      <c r="B375" s="143"/>
      <c r="C375" s="143"/>
      <c r="D375" s="143"/>
      <c r="E375" s="143"/>
      <c r="F375" s="143"/>
      <c r="G375" s="143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</row>
    <row r="376" spans="1:19" ht="19.5">
      <c r="A376" s="136"/>
      <c r="B376" s="143"/>
      <c r="C376" s="143"/>
      <c r="D376" s="143"/>
      <c r="E376" s="143"/>
      <c r="F376" s="143"/>
      <c r="G376" s="143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</row>
    <row r="377" spans="1:19" ht="19.5">
      <c r="A377" s="136"/>
      <c r="B377" s="143"/>
      <c r="C377" s="143"/>
      <c r="D377" s="143"/>
      <c r="E377" s="143"/>
      <c r="F377" s="143"/>
      <c r="G377" s="143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</row>
    <row r="378" spans="1:19" ht="19.5">
      <c r="A378" s="136"/>
      <c r="B378" s="143"/>
      <c r="C378" s="143"/>
      <c r="D378" s="143"/>
      <c r="E378" s="143"/>
      <c r="F378" s="143"/>
      <c r="G378" s="143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</row>
    <row r="379" spans="1:19" ht="19.5">
      <c r="A379" s="136"/>
      <c r="B379" s="143"/>
      <c r="C379" s="143"/>
      <c r="D379" s="143"/>
      <c r="E379" s="143"/>
      <c r="F379" s="143"/>
      <c r="G379" s="143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</row>
    <row r="380" spans="1:19" ht="19.5">
      <c r="A380" s="136"/>
      <c r="B380" s="143"/>
      <c r="C380" s="143"/>
      <c r="D380" s="143"/>
      <c r="E380" s="143"/>
      <c r="F380" s="143"/>
      <c r="G380" s="143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</row>
    <row r="381" spans="1:19" ht="19.5">
      <c r="A381" s="136"/>
      <c r="B381" s="143"/>
      <c r="C381" s="143"/>
      <c r="D381" s="143"/>
      <c r="E381" s="143"/>
      <c r="F381" s="143"/>
      <c r="G381" s="143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</row>
    <row r="382" spans="1:19" ht="19.5">
      <c r="A382" s="136"/>
      <c r="B382" s="143"/>
      <c r="C382" s="143"/>
      <c r="D382" s="143"/>
      <c r="E382" s="143"/>
      <c r="F382" s="143"/>
      <c r="G382" s="143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</row>
    <row r="383" spans="1:19" ht="19.5">
      <c r="A383" s="136"/>
      <c r="B383" s="143"/>
      <c r="C383" s="143"/>
      <c r="D383" s="143"/>
      <c r="E383" s="143"/>
      <c r="F383" s="143"/>
      <c r="G383" s="143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</row>
    <row r="384" spans="1:19" ht="19.5">
      <c r="A384" s="136"/>
      <c r="B384" s="143"/>
      <c r="C384" s="143"/>
      <c r="D384" s="143"/>
      <c r="E384" s="143"/>
      <c r="F384" s="143"/>
      <c r="G384" s="143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</row>
    <row r="385" spans="1:19" ht="19.5">
      <c r="A385" s="136"/>
      <c r="B385" s="143"/>
      <c r="C385" s="143"/>
      <c r="D385" s="143"/>
      <c r="E385" s="143"/>
      <c r="F385" s="143"/>
      <c r="G385" s="143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</row>
    <row r="386" spans="1:19" ht="19.5">
      <c r="A386" s="136"/>
      <c r="B386" s="143"/>
      <c r="C386" s="143"/>
      <c r="D386" s="143"/>
      <c r="E386" s="143"/>
      <c r="F386" s="143"/>
      <c r="G386" s="143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</row>
    <row r="387" spans="1:19" ht="19.5">
      <c r="A387" s="136"/>
      <c r="B387" s="143"/>
      <c r="C387" s="143"/>
      <c r="D387" s="143"/>
      <c r="E387" s="143"/>
      <c r="F387" s="143"/>
      <c r="G387" s="143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</row>
    <row r="388" spans="1:19" ht="19.5">
      <c r="A388" s="136"/>
      <c r="B388" s="143"/>
      <c r="C388" s="143"/>
      <c r="D388" s="143"/>
      <c r="E388" s="143"/>
      <c r="F388" s="143"/>
      <c r="G388" s="143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</row>
    <row r="389" spans="1:19" ht="19.5">
      <c r="A389" s="136"/>
      <c r="B389" s="143"/>
      <c r="C389" s="143"/>
      <c r="D389" s="143"/>
      <c r="E389" s="143"/>
      <c r="F389" s="143"/>
      <c r="G389" s="143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</row>
    <row r="390" spans="1:19" ht="19.5">
      <c r="A390" s="136"/>
      <c r="B390" s="143"/>
      <c r="C390" s="143"/>
      <c r="D390" s="143"/>
      <c r="E390" s="143"/>
      <c r="F390" s="143"/>
      <c r="G390" s="143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</row>
    <row r="391" spans="1:19" ht="19.5">
      <c r="A391" s="136"/>
      <c r="B391" s="143"/>
      <c r="C391" s="143"/>
      <c r="D391" s="143"/>
      <c r="E391" s="143"/>
      <c r="F391" s="143"/>
      <c r="G391" s="143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</row>
    <row r="392" spans="1:19" ht="19.5">
      <c r="A392" s="136"/>
      <c r="B392" s="143"/>
      <c r="C392" s="143"/>
      <c r="D392" s="143"/>
      <c r="E392" s="143"/>
      <c r="F392" s="143"/>
      <c r="G392" s="143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</row>
    <row r="393" spans="1:19" ht="19.5">
      <c r="A393" s="136"/>
      <c r="B393" s="143"/>
      <c r="C393" s="143"/>
      <c r="D393" s="143"/>
      <c r="E393" s="143"/>
      <c r="F393" s="143"/>
      <c r="G393" s="143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</row>
    <row r="394" spans="1:19" ht="19.5">
      <c r="A394" s="136"/>
      <c r="B394" s="143"/>
      <c r="C394" s="143"/>
      <c r="D394" s="143"/>
      <c r="E394" s="143"/>
      <c r="F394" s="143"/>
      <c r="G394" s="143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</row>
    <row r="395" spans="1:19" ht="19.5">
      <c r="A395" s="136"/>
      <c r="B395" s="143"/>
      <c r="C395" s="143"/>
      <c r="D395" s="143"/>
      <c r="E395" s="143"/>
      <c r="F395" s="143"/>
      <c r="G395" s="143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</row>
    <row r="396" spans="1:19" ht="19.5">
      <c r="A396" s="136"/>
      <c r="B396" s="143"/>
      <c r="C396" s="143"/>
      <c r="D396" s="143"/>
      <c r="E396" s="143"/>
      <c r="F396" s="143"/>
      <c r="G396" s="143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</row>
    <row r="397" spans="1:19" ht="19.5">
      <c r="A397" s="136"/>
      <c r="B397" s="143"/>
      <c r="C397" s="143"/>
      <c r="D397" s="143"/>
      <c r="E397" s="143"/>
      <c r="F397" s="143"/>
      <c r="G397" s="143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</row>
    <row r="398" spans="1:19" ht="19.5">
      <c r="A398" s="136"/>
      <c r="B398" s="143"/>
      <c r="C398" s="143"/>
      <c r="D398" s="143"/>
      <c r="E398" s="143"/>
      <c r="F398" s="143"/>
      <c r="G398" s="143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</row>
    <row r="399" spans="1:19" ht="19.5">
      <c r="A399" s="136"/>
      <c r="B399" s="143"/>
      <c r="C399" s="143"/>
      <c r="D399" s="143"/>
      <c r="E399" s="143"/>
      <c r="F399" s="143"/>
      <c r="G399" s="143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</row>
    <row r="400" spans="1:19" ht="19.5">
      <c r="A400" s="136"/>
      <c r="B400" s="143"/>
      <c r="C400" s="143"/>
      <c r="D400" s="143"/>
      <c r="E400" s="143"/>
      <c r="F400" s="143"/>
      <c r="G400" s="143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</row>
    <row r="401" spans="1:19" ht="19.5">
      <c r="A401" s="136"/>
      <c r="B401" s="143"/>
      <c r="C401" s="143"/>
      <c r="D401" s="143"/>
      <c r="E401" s="143"/>
      <c r="F401" s="143"/>
      <c r="G401" s="143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</row>
    <row r="402" spans="1:19" ht="19.5">
      <c r="A402" s="136"/>
      <c r="B402" s="143"/>
      <c r="C402" s="143"/>
      <c r="D402" s="143"/>
      <c r="E402" s="143"/>
      <c r="F402" s="143"/>
      <c r="G402" s="143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</row>
    <row r="403" spans="1:19" ht="19.5">
      <c r="A403" s="136"/>
      <c r="B403" s="143"/>
      <c r="C403" s="143"/>
      <c r="D403" s="143"/>
      <c r="E403" s="143"/>
      <c r="F403" s="143"/>
      <c r="G403" s="143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</row>
    <row r="404" spans="1:19" ht="19.5">
      <c r="A404" s="136"/>
      <c r="B404" s="143"/>
      <c r="C404" s="143"/>
      <c r="D404" s="143"/>
      <c r="E404" s="143"/>
      <c r="F404" s="143"/>
      <c r="G404" s="143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</row>
    <row r="405" spans="1:19" ht="19.5">
      <c r="A405" s="136"/>
      <c r="B405" s="143"/>
      <c r="C405" s="143"/>
      <c r="D405" s="143"/>
      <c r="E405" s="143"/>
      <c r="F405" s="143"/>
      <c r="G405" s="143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</row>
    <row r="406" spans="1:19" ht="19.5">
      <c r="A406" s="136"/>
      <c r="B406" s="143"/>
      <c r="C406" s="143"/>
      <c r="D406" s="143"/>
      <c r="E406" s="143"/>
      <c r="F406" s="143"/>
      <c r="G406" s="143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</row>
    <row r="407" spans="1:19" ht="19.5">
      <c r="A407" s="136"/>
      <c r="B407" s="143"/>
      <c r="C407" s="143"/>
      <c r="D407" s="143"/>
      <c r="E407" s="143"/>
      <c r="F407" s="143"/>
      <c r="G407" s="143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</row>
    <row r="408" spans="1:19" ht="19.5">
      <c r="A408" s="136"/>
      <c r="B408" s="143"/>
      <c r="C408" s="143"/>
      <c r="D408" s="143"/>
      <c r="E408" s="143"/>
      <c r="F408" s="143"/>
      <c r="G408" s="143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</row>
    <row r="409" spans="1:19" ht="19.5">
      <c r="A409" s="136"/>
      <c r="B409" s="143"/>
      <c r="C409" s="143"/>
      <c r="D409" s="143"/>
      <c r="E409" s="143"/>
      <c r="F409" s="143"/>
      <c r="G409" s="143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</row>
    <row r="410" spans="1:19" ht="19.5">
      <c r="A410" s="136"/>
      <c r="B410" s="143"/>
      <c r="C410" s="143"/>
      <c r="D410" s="143"/>
      <c r="E410" s="143"/>
      <c r="F410" s="143"/>
      <c r="G410" s="143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</row>
    <row r="411" spans="1:19" ht="19.5">
      <c r="A411" s="136"/>
      <c r="B411" s="143"/>
      <c r="C411" s="143"/>
      <c r="D411" s="143"/>
      <c r="E411" s="143"/>
      <c r="F411" s="143"/>
      <c r="G411" s="143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</row>
    <row r="412" spans="1:19" ht="19.5">
      <c r="A412" s="136"/>
      <c r="B412" s="143"/>
      <c r="C412" s="143"/>
      <c r="D412" s="143"/>
      <c r="E412" s="143"/>
      <c r="F412" s="143"/>
      <c r="G412" s="143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</row>
    <row r="413" spans="1:19" ht="19.5">
      <c r="A413" s="136"/>
      <c r="B413" s="143"/>
      <c r="C413" s="143"/>
      <c r="D413" s="143"/>
      <c r="E413" s="143"/>
      <c r="F413" s="143"/>
      <c r="G413" s="143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</row>
    <row r="414" spans="1:19" ht="19.5">
      <c r="A414" s="136"/>
      <c r="B414" s="143"/>
      <c r="C414" s="143"/>
      <c r="D414" s="143"/>
      <c r="E414" s="143"/>
      <c r="F414" s="143"/>
      <c r="G414" s="143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</row>
    <row r="415" spans="1:19" ht="19.5">
      <c r="A415" s="136"/>
      <c r="B415" s="143"/>
      <c r="C415" s="143"/>
      <c r="D415" s="143"/>
      <c r="E415" s="143"/>
      <c r="F415" s="143"/>
      <c r="G415" s="143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</row>
    <row r="416" spans="1:19" ht="19.5">
      <c r="A416" s="136"/>
      <c r="B416" s="143"/>
      <c r="C416" s="143"/>
      <c r="D416" s="143"/>
      <c r="E416" s="143"/>
      <c r="F416" s="143"/>
      <c r="G416" s="143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</row>
    <row r="417" spans="1:19" ht="19.5">
      <c r="A417" s="136"/>
      <c r="B417" s="143"/>
      <c r="C417" s="143"/>
      <c r="D417" s="143"/>
      <c r="E417" s="143"/>
      <c r="F417" s="143"/>
      <c r="G417" s="143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</row>
    <row r="418" spans="1:19" ht="19.5">
      <c r="A418" s="136"/>
      <c r="B418" s="143"/>
      <c r="C418" s="143"/>
      <c r="D418" s="143"/>
      <c r="E418" s="143"/>
      <c r="F418" s="143"/>
      <c r="G418" s="143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</row>
    <row r="419" spans="1:19" ht="19.5">
      <c r="A419" s="136"/>
      <c r="B419" s="143"/>
      <c r="C419" s="143"/>
      <c r="D419" s="143"/>
      <c r="E419" s="143"/>
      <c r="F419" s="143"/>
      <c r="G419" s="143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</row>
    <row r="420" spans="1:19" ht="19.5">
      <c r="A420" s="136"/>
      <c r="B420" s="143"/>
      <c r="C420" s="143"/>
      <c r="D420" s="143"/>
      <c r="E420" s="143"/>
      <c r="F420" s="143"/>
      <c r="G420" s="143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</row>
    <row r="421" spans="1:19" ht="19.5">
      <c r="A421" s="136"/>
      <c r="B421" s="143"/>
      <c r="C421" s="143"/>
      <c r="D421" s="143"/>
      <c r="E421" s="143"/>
      <c r="F421" s="143"/>
      <c r="G421" s="143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</row>
    <row r="422" spans="1:19" ht="19.5">
      <c r="A422" s="136"/>
      <c r="B422" s="143"/>
      <c r="C422" s="143"/>
      <c r="D422" s="143"/>
      <c r="E422" s="143"/>
      <c r="F422" s="143"/>
      <c r="G422" s="143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</row>
    <row r="423" spans="1:19" ht="19.5">
      <c r="A423" s="136"/>
      <c r="B423" s="143"/>
      <c r="C423" s="143"/>
      <c r="D423" s="143"/>
      <c r="E423" s="143"/>
      <c r="F423" s="143"/>
      <c r="G423" s="143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</row>
    <row r="424" spans="1:19" ht="19.5">
      <c r="A424" s="136"/>
      <c r="B424" s="143"/>
      <c r="C424" s="143"/>
      <c r="D424" s="143"/>
      <c r="E424" s="143"/>
      <c r="F424" s="143"/>
      <c r="G424" s="143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</row>
    <row r="425" spans="1:19" ht="19.5">
      <c r="A425" s="136"/>
      <c r="B425" s="143"/>
      <c r="C425" s="143"/>
      <c r="D425" s="143"/>
      <c r="E425" s="143"/>
      <c r="F425" s="143"/>
      <c r="G425" s="143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</row>
    <row r="426" spans="1:19" ht="19.5">
      <c r="A426" s="136"/>
      <c r="B426" s="143"/>
      <c r="C426" s="143"/>
      <c r="D426" s="143"/>
      <c r="E426" s="143"/>
      <c r="F426" s="143"/>
      <c r="G426" s="143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</row>
    <row r="427" spans="1:19" ht="19.5">
      <c r="A427" s="136"/>
      <c r="B427" s="143"/>
      <c r="C427" s="143"/>
      <c r="D427" s="143"/>
      <c r="E427" s="143"/>
      <c r="F427" s="143"/>
      <c r="G427" s="143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</row>
    <row r="428" spans="1:19" ht="19.5">
      <c r="A428" s="136"/>
      <c r="B428" s="143"/>
      <c r="C428" s="143"/>
      <c r="D428" s="143"/>
      <c r="E428" s="143"/>
      <c r="F428" s="143"/>
      <c r="G428" s="143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</row>
    <row r="429" spans="1:19" ht="19.5">
      <c r="A429" s="136"/>
      <c r="B429" s="143"/>
      <c r="C429" s="143"/>
      <c r="D429" s="143"/>
      <c r="E429" s="143"/>
      <c r="F429" s="143"/>
      <c r="G429" s="143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</row>
    <row r="430" spans="1:19" ht="19.5">
      <c r="A430" s="136"/>
      <c r="B430" s="143"/>
      <c r="C430" s="143"/>
      <c r="D430" s="143"/>
      <c r="E430" s="143"/>
      <c r="F430" s="143"/>
      <c r="G430" s="143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</row>
    <row r="431" spans="1:19" ht="19.5">
      <c r="A431" s="136"/>
      <c r="B431" s="143"/>
      <c r="C431" s="143"/>
      <c r="D431" s="143"/>
      <c r="E431" s="143"/>
      <c r="F431" s="143"/>
      <c r="G431" s="143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</row>
    <row r="432" spans="1:19" ht="19.5">
      <c r="A432" s="136"/>
      <c r="B432" s="143"/>
      <c r="C432" s="143"/>
      <c r="D432" s="143"/>
      <c r="E432" s="143"/>
      <c r="F432" s="143"/>
      <c r="G432" s="143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</row>
    <row r="433" spans="1:19" ht="19.5">
      <c r="A433" s="136"/>
      <c r="B433" s="143"/>
      <c r="C433" s="143"/>
      <c r="D433" s="143"/>
      <c r="E433" s="143"/>
      <c r="F433" s="143"/>
      <c r="G433" s="143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</row>
    <row r="434" spans="1:19" ht="19.5">
      <c r="A434" s="136"/>
      <c r="B434" s="143"/>
      <c r="C434" s="143"/>
      <c r="D434" s="143"/>
      <c r="E434" s="143"/>
      <c r="F434" s="143"/>
      <c r="G434" s="143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</row>
    <row r="435" spans="1:19" ht="19.5">
      <c r="A435" s="136"/>
      <c r="B435" s="143"/>
      <c r="C435" s="143"/>
      <c r="D435" s="143"/>
      <c r="E435" s="143"/>
      <c r="F435" s="143"/>
      <c r="G435" s="143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</row>
    <row r="436" spans="1:19" ht="19.5">
      <c r="A436" s="136"/>
      <c r="B436" s="143"/>
      <c r="C436" s="143"/>
      <c r="D436" s="143"/>
      <c r="E436" s="143"/>
      <c r="F436" s="143"/>
      <c r="G436" s="143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</row>
    <row r="437" spans="1:19" ht="19.5">
      <c r="A437" s="136"/>
      <c r="B437" s="143"/>
      <c r="C437" s="143"/>
      <c r="D437" s="143"/>
      <c r="E437" s="143"/>
      <c r="F437" s="143"/>
      <c r="G437" s="143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</row>
    <row r="438" spans="1:19" ht="19.5">
      <c r="A438" s="136"/>
      <c r="B438" s="143"/>
      <c r="C438" s="143"/>
      <c r="D438" s="143"/>
      <c r="E438" s="143"/>
      <c r="F438" s="143"/>
      <c r="G438" s="143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</row>
    <row r="439" spans="1:19" ht="19.5">
      <c r="A439" s="136"/>
      <c r="B439" s="143"/>
      <c r="C439" s="143"/>
      <c r="D439" s="143"/>
      <c r="E439" s="143"/>
      <c r="F439" s="143"/>
      <c r="G439" s="143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</row>
    <row r="440" spans="1:19" ht="19.5">
      <c r="A440" s="136"/>
      <c r="B440" s="143"/>
      <c r="C440" s="143"/>
      <c r="D440" s="143"/>
      <c r="E440" s="143"/>
      <c r="F440" s="143"/>
      <c r="G440" s="143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</row>
    <row r="441" spans="1:19" ht="19.5">
      <c r="A441" s="136"/>
      <c r="B441" s="143"/>
      <c r="C441" s="143"/>
      <c r="D441" s="143"/>
      <c r="E441" s="143"/>
      <c r="F441" s="143"/>
      <c r="G441" s="143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</row>
    <row r="442" spans="1:19" ht="19.5">
      <c r="A442" s="136"/>
      <c r="B442" s="143"/>
      <c r="C442" s="143"/>
      <c r="D442" s="143"/>
      <c r="E442" s="143"/>
      <c r="F442" s="143"/>
      <c r="G442" s="143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</row>
    <row r="443" spans="1:19" ht="19.5">
      <c r="A443" s="136"/>
      <c r="B443" s="143"/>
      <c r="C443" s="143"/>
      <c r="D443" s="143"/>
      <c r="E443" s="143"/>
      <c r="F443" s="143"/>
      <c r="G443" s="143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</row>
    <row r="444" spans="1:19" ht="19.5">
      <c r="A444" s="136"/>
      <c r="B444" s="143"/>
      <c r="C444" s="143"/>
      <c r="D444" s="143"/>
      <c r="E444" s="143"/>
      <c r="F444" s="143"/>
      <c r="G444" s="143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</row>
    <row r="445" spans="1:19" ht="19.5">
      <c r="A445" s="136"/>
      <c r="B445" s="143"/>
      <c r="C445" s="143"/>
      <c r="D445" s="143"/>
      <c r="E445" s="143"/>
      <c r="F445" s="143"/>
      <c r="G445" s="143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</row>
    <row r="446" spans="1:19" ht="19.5">
      <c r="A446" s="136"/>
      <c r="B446" s="143"/>
      <c r="C446" s="143"/>
      <c r="D446" s="143"/>
      <c r="E446" s="143"/>
      <c r="F446" s="143"/>
      <c r="G446" s="143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</row>
    <row r="447" spans="1:19" ht="19.5">
      <c r="A447" s="136"/>
      <c r="B447" s="143"/>
      <c r="C447" s="143"/>
      <c r="D447" s="143"/>
      <c r="E447" s="143"/>
      <c r="F447" s="143"/>
      <c r="G447" s="143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</row>
    <row r="448" spans="1:19" ht="19.5">
      <c r="A448" s="136"/>
      <c r="B448" s="143"/>
      <c r="C448" s="143"/>
      <c r="D448" s="143"/>
      <c r="E448" s="143"/>
      <c r="F448" s="143"/>
      <c r="G448" s="143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</row>
    <row r="449" spans="1:19" ht="19.5">
      <c r="A449" s="136"/>
      <c r="B449" s="143"/>
      <c r="C449" s="143"/>
      <c r="D449" s="143"/>
      <c r="E449" s="143"/>
      <c r="F449" s="143"/>
      <c r="G449" s="143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</row>
    <row r="450" spans="1:19" ht="19.5">
      <c r="A450" s="136"/>
      <c r="B450" s="143"/>
      <c r="C450" s="143"/>
      <c r="D450" s="143"/>
      <c r="E450" s="143"/>
      <c r="F450" s="143"/>
      <c r="G450" s="143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</row>
    <row r="451" spans="1:19" ht="19.5">
      <c r="A451" s="136"/>
      <c r="B451" s="143"/>
      <c r="C451" s="143"/>
      <c r="D451" s="143"/>
      <c r="E451" s="143"/>
      <c r="F451" s="143"/>
      <c r="G451" s="143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</row>
    <row r="452" spans="1:19" ht="19.5">
      <c r="A452" s="136"/>
      <c r="B452" s="143"/>
      <c r="C452" s="143"/>
      <c r="D452" s="143"/>
      <c r="E452" s="143"/>
      <c r="F452" s="143"/>
      <c r="G452" s="143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</row>
    <row r="453" spans="1:19" ht="19.5">
      <c r="A453" s="136"/>
      <c r="B453" s="143"/>
      <c r="C453" s="143"/>
      <c r="D453" s="143"/>
      <c r="E453" s="143"/>
      <c r="F453" s="143"/>
      <c r="G453" s="143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</row>
    <row r="454" spans="1:19" ht="19.5">
      <c r="A454" s="136"/>
      <c r="B454" s="143"/>
      <c r="C454" s="143"/>
      <c r="D454" s="143"/>
      <c r="E454" s="143"/>
      <c r="F454" s="143"/>
      <c r="G454" s="143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</row>
    <row r="455" spans="1:19" ht="19.5">
      <c r="A455" s="136"/>
      <c r="B455" s="143"/>
      <c r="C455" s="143"/>
      <c r="D455" s="143"/>
      <c r="E455" s="143"/>
      <c r="F455" s="143"/>
      <c r="G455" s="143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</row>
    <row r="456" spans="1:19" ht="19.5">
      <c r="A456" s="136"/>
      <c r="B456" s="143"/>
      <c r="C456" s="143"/>
      <c r="D456" s="143"/>
      <c r="E456" s="143"/>
      <c r="F456" s="143"/>
      <c r="G456" s="143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</row>
    <row r="457" spans="1:19" ht="19.5">
      <c r="A457" s="136"/>
      <c r="B457" s="143"/>
      <c r="C457" s="143"/>
      <c r="D457" s="143"/>
      <c r="E457" s="143"/>
      <c r="F457" s="143"/>
      <c r="G457" s="143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</row>
    <row r="458" spans="1:19" ht="19.5">
      <c r="A458" s="136"/>
      <c r="B458" s="143"/>
      <c r="C458" s="143"/>
      <c r="D458" s="143"/>
      <c r="E458" s="143"/>
      <c r="F458" s="143"/>
      <c r="G458" s="143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</row>
    <row r="459" spans="1:19" ht="19.5">
      <c r="A459" s="136"/>
      <c r="B459" s="143"/>
      <c r="C459" s="143"/>
      <c r="D459" s="143"/>
      <c r="E459" s="143"/>
      <c r="F459" s="143"/>
      <c r="G459" s="143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</row>
    <row r="460" spans="1:19" ht="19.5">
      <c r="A460" s="136"/>
      <c r="B460" s="143"/>
      <c r="C460" s="143"/>
      <c r="D460" s="143"/>
      <c r="E460" s="143"/>
      <c r="F460" s="143"/>
      <c r="G460" s="143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</row>
    <row r="461" spans="1:19" ht="19.5">
      <c r="A461" s="136"/>
      <c r="B461" s="143"/>
      <c r="C461" s="143"/>
      <c r="D461" s="143"/>
      <c r="E461" s="143"/>
      <c r="F461" s="143"/>
      <c r="G461" s="143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</row>
    <row r="462" spans="1:19" ht="19.5">
      <c r="A462" s="136"/>
      <c r="B462" s="143"/>
      <c r="C462" s="143"/>
      <c r="D462" s="143"/>
      <c r="E462" s="143"/>
      <c r="F462" s="143"/>
      <c r="G462" s="143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</row>
    <row r="463" spans="1:19" ht="19.5">
      <c r="A463" s="136"/>
      <c r="B463" s="143"/>
      <c r="C463" s="143"/>
      <c r="D463" s="143"/>
      <c r="E463" s="143"/>
      <c r="F463" s="143"/>
      <c r="G463" s="143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</row>
    <row r="464" spans="1:19" ht="19.5">
      <c r="A464" s="136"/>
      <c r="B464" s="143"/>
      <c r="C464" s="143"/>
      <c r="D464" s="143"/>
      <c r="E464" s="143"/>
      <c r="F464" s="143"/>
      <c r="G464" s="143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</row>
    <row r="465" spans="1:19" ht="19.5">
      <c r="A465" s="136"/>
      <c r="B465" s="143"/>
      <c r="C465" s="143"/>
      <c r="D465" s="143"/>
      <c r="E465" s="143"/>
      <c r="F465" s="143"/>
      <c r="G465" s="143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</row>
    <row r="466" spans="1:19" ht="19.5">
      <c r="A466" s="136"/>
      <c r="B466" s="143"/>
      <c r="C466" s="143"/>
      <c r="D466" s="143"/>
      <c r="E466" s="143"/>
      <c r="F466" s="143"/>
      <c r="G466" s="143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</row>
    <row r="467" spans="1:19" ht="19.5">
      <c r="A467" s="136"/>
      <c r="B467" s="143"/>
      <c r="C467" s="143"/>
      <c r="D467" s="143"/>
      <c r="E467" s="143"/>
      <c r="F467" s="143"/>
      <c r="G467" s="143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</row>
    <row r="468" spans="1:19" ht="19.5">
      <c r="A468" s="136"/>
      <c r="B468" s="143"/>
      <c r="C468" s="143"/>
      <c r="D468" s="143"/>
      <c r="E468" s="143"/>
      <c r="F468" s="143"/>
      <c r="G468" s="143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</row>
    <row r="469" spans="1:19" ht="19.5">
      <c r="A469" s="136"/>
      <c r="B469" s="143"/>
      <c r="C469" s="143"/>
      <c r="D469" s="143"/>
      <c r="E469" s="143"/>
      <c r="F469" s="143"/>
      <c r="G469" s="143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</row>
    <row r="470" spans="1:19" ht="19.5">
      <c r="A470" s="136"/>
      <c r="B470" s="143"/>
      <c r="C470" s="143"/>
      <c r="D470" s="143"/>
      <c r="E470" s="143"/>
      <c r="F470" s="143"/>
      <c r="G470" s="143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</row>
    <row r="471" spans="1:19" ht="19.5">
      <c r="A471" s="136"/>
      <c r="B471" s="143"/>
      <c r="C471" s="143"/>
      <c r="D471" s="143"/>
      <c r="E471" s="143"/>
      <c r="F471" s="143"/>
      <c r="G471" s="143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</row>
    <row r="472" spans="1:19" ht="19.5">
      <c r="A472" s="136"/>
      <c r="B472" s="143"/>
      <c r="C472" s="143"/>
      <c r="D472" s="143"/>
      <c r="E472" s="143"/>
      <c r="F472" s="143"/>
      <c r="G472" s="143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</row>
    <row r="473" spans="1:19" ht="19.5">
      <c r="A473" s="136"/>
      <c r="B473" s="143"/>
      <c r="C473" s="143"/>
      <c r="D473" s="143"/>
      <c r="E473" s="143"/>
      <c r="F473" s="143"/>
      <c r="G473" s="143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</row>
    <row r="474" spans="1:19" ht="19.5">
      <c r="A474" s="136"/>
      <c r="B474" s="143"/>
      <c r="C474" s="143"/>
      <c r="D474" s="143"/>
      <c r="E474" s="143"/>
      <c r="F474" s="143"/>
      <c r="G474" s="143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</row>
    <row r="475" spans="1:19" ht="19.5">
      <c r="A475" s="136"/>
      <c r="B475" s="143"/>
      <c r="C475" s="143"/>
      <c r="D475" s="143"/>
      <c r="E475" s="143"/>
      <c r="F475" s="143"/>
      <c r="G475" s="143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</row>
    <row r="476" spans="1:19" ht="19.5">
      <c r="A476" s="136"/>
      <c r="B476" s="143"/>
      <c r="C476" s="143"/>
      <c r="D476" s="143"/>
      <c r="E476" s="143"/>
      <c r="F476" s="143"/>
      <c r="G476" s="143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</row>
    <row r="477" spans="1:19" ht="19.5">
      <c r="A477" s="136"/>
      <c r="B477" s="143"/>
      <c r="C477" s="143"/>
      <c r="D477" s="143"/>
      <c r="E477" s="143"/>
      <c r="F477" s="143"/>
      <c r="G477" s="143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</row>
    <row r="478" spans="1:19" ht="19.5">
      <c r="A478" s="136"/>
      <c r="B478" s="143"/>
      <c r="C478" s="143"/>
      <c r="D478" s="143"/>
      <c r="E478" s="143"/>
      <c r="F478" s="143"/>
      <c r="G478" s="143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</row>
    <row r="479" spans="1:19" ht="19.5">
      <c r="A479" s="136"/>
      <c r="B479" s="143"/>
      <c r="C479" s="143"/>
      <c r="D479" s="143"/>
      <c r="E479" s="143"/>
      <c r="F479" s="143"/>
      <c r="G479" s="143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</row>
    <row r="480" spans="1:19" ht="19.5">
      <c r="A480" s="136"/>
      <c r="B480" s="143"/>
      <c r="C480" s="143"/>
      <c r="D480" s="143"/>
      <c r="E480" s="143"/>
      <c r="F480" s="143"/>
      <c r="G480" s="143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</row>
    <row r="481" spans="1:19" ht="19.5">
      <c r="A481" s="136"/>
      <c r="B481" s="143"/>
      <c r="C481" s="143"/>
      <c r="D481" s="143"/>
      <c r="E481" s="143"/>
      <c r="F481" s="143"/>
      <c r="G481" s="143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</row>
    <row r="482" spans="1:19" ht="19.5">
      <c r="A482" s="136"/>
      <c r="B482" s="143"/>
      <c r="C482" s="143"/>
      <c r="D482" s="143"/>
      <c r="E482" s="143"/>
      <c r="F482" s="143"/>
      <c r="G482" s="143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</row>
    <row r="483" spans="1:19" ht="19.5">
      <c r="A483" s="136"/>
      <c r="B483" s="143"/>
      <c r="C483" s="143"/>
      <c r="D483" s="143"/>
      <c r="E483" s="143"/>
      <c r="F483" s="143"/>
      <c r="G483" s="143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</row>
    <row r="484" spans="1:19" ht="19.5">
      <c r="A484" s="136"/>
      <c r="B484" s="143"/>
      <c r="C484" s="143"/>
      <c r="D484" s="143"/>
      <c r="E484" s="143"/>
      <c r="F484" s="143"/>
      <c r="G484" s="143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</row>
    <row r="485" spans="1:19" ht="19.5">
      <c r="A485" s="136"/>
      <c r="B485" s="143"/>
      <c r="C485" s="143"/>
      <c r="D485" s="143"/>
      <c r="E485" s="143"/>
      <c r="F485" s="143"/>
      <c r="G485" s="143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</row>
    <row r="486" spans="1:19" ht="19.5">
      <c r="A486" s="136"/>
      <c r="B486" s="143"/>
      <c r="C486" s="143"/>
      <c r="D486" s="143"/>
      <c r="E486" s="143"/>
      <c r="F486" s="143"/>
      <c r="G486" s="143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</row>
    <row r="487" spans="1:19" ht="19.5">
      <c r="A487" s="136"/>
      <c r="B487" s="143"/>
      <c r="C487" s="143"/>
      <c r="D487" s="143"/>
      <c r="E487" s="143"/>
      <c r="F487" s="143"/>
      <c r="G487" s="143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</row>
    <row r="488" spans="1:19" ht="19.5">
      <c r="A488" s="136"/>
      <c r="B488" s="143"/>
      <c r="C488" s="143"/>
      <c r="D488" s="143"/>
      <c r="E488" s="143"/>
      <c r="F488" s="143"/>
      <c r="G488" s="143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</row>
    <row r="489" spans="1:19" ht="19.5">
      <c r="A489" s="136"/>
      <c r="B489" s="143"/>
      <c r="C489" s="143"/>
      <c r="D489" s="143"/>
      <c r="E489" s="143"/>
      <c r="F489" s="143"/>
      <c r="G489" s="143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</row>
    <row r="490" spans="1:19" ht="19.5">
      <c r="A490" s="136"/>
      <c r="B490" s="143"/>
      <c r="C490" s="143"/>
      <c r="D490" s="143"/>
      <c r="E490" s="143"/>
      <c r="F490" s="143"/>
      <c r="G490" s="143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</row>
    <row r="491" spans="1:19" ht="19.5">
      <c r="A491" s="136"/>
      <c r="B491" s="143"/>
      <c r="C491" s="143"/>
      <c r="D491" s="143"/>
      <c r="E491" s="143"/>
      <c r="F491" s="143"/>
      <c r="G491" s="143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</row>
    <row r="492" spans="1:19" ht="19.5">
      <c r="A492" s="136"/>
      <c r="B492" s="143"/>
      <c r="C492" s="143"/>
      <c r="D492" s="143"/>
      <c r="E492" s="143"/>
      <c r="F492" s="143"/>
      <c r="G492" s="143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</row>
    <row r="493" spans="1:19" ht="19.5">
      <c r="A493" s="136"/>
      <c r="B493" s="143"/>
      <c r="C493" s="143"/>
      <c r="D493" s="143"/>
      <c r="E493" s="143"/>
      <c r="F493" s="143"/>
      <c r="G493" s="143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</row>
    <row r="494" spans="1:19" ht="19.5">
      <c r="A494" s="136"/>
      <c r="B494" s="143"/>
      <c r="C494" s="143"/>
      <c r="D494" s="143"/>
      <c r="E494" s="143"/>
      <c r="F494" s="143"/>
      <c r="G494" s="143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</row>
    <row r="495" spans="1:19" ht="19.5">
      <c r="A495" s="136"/>
      <c r="B495" s="143"/>
      <c r="C495" s="143"/>
      <c r="D495" s="143"/>
      <c r="E495" s="143"/>
      <c r="F495" s="143"/>
      <c r="G495" s="143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</row>
    <row r="496" spans="1:19" ht="19.5">
      <c r="A496" s="136"/>
      <c r="B496" s="143"/>
      <c r="C496" s="143"/>
      <c r="D496" s="143"/>
      <c r="E496" s="143"/>
      <c r="F496" s="143"/>
      <c r="G496" s="143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</row>
    <row r="497" spans="1:19" ht="19.5">
      <c r="A497" s="136"/>
      <c r="B497" s="143"/>
      <c r="C497" s="143"/>
      <c r="D497" s="143"/>
      <c r="E497" s="143"/>
      <c r="F497" s="143"/>
      <c r="G497" s="143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</row>
    <row r="498" spans="1:19" ht="19.5">
      <c r="A498" s="136"/>
      <c r="B498" s="143"/>
      <c r="C498" s="143"/>
      <c r="D498" s="143"/>
      <c r="E498" s="143"/>
      <c r="F498" s="143"/>
      <c r="G498" s="143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</row>
    <row r="499" spans="1:19" ht="19.5">
      <c r="A499" s="136"/>
      <c r="B499" s="143"/>
      <c r="C499" s="143"/>
      <c r="D499" s="143"/>
      <c r="E499" s="143"/>
      <c r="F499" s="143"/>
      <c r="G499" s="143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</row>
    <row r="500" spans="1:19" ht="19.5">
      <c r="A500" s="136"/>
      <c r="B500" s="143"/>
      <c r="C500" s="143"/>
      <c r="D500" s="143"/>
      <c r="E500" s="143"/>
      <c r="F500" s="143"/>
      <c r="G500" s="143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</row>
    <row r="501" spans="1:19" ht="19.5">
      <c r="A501" s="136"/>
      <c r="B501" s="143"/>
      <c r="C501" s="143"/>
      <c r="D501" s="143"/>
      <c r="E501" s="143"/>
      <c r="F501" s="143"/>
      <c r="G501" s="143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</row>
    <row r="502" spans="1:19" ht="19.5">
      <c r="A502" s="136"/>
      <c r="B502" s="143"/>
      <c r="C502" s="143"/>
      <c r="D502" s="143"/>
      <c r="E502" s="143"/>
      <c r="F502" s="143"/>
      <c r="G502" s="143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</row>
    <row r="503" spans="1:19" ht="19.5">
      <c r="A503" s="136"/>
      <c r="B503" s="143"/>
      <c r="C503" s="143"/>
      <c r="D503" s="143"/>
      <c r="E503" s="143"/>
      <c r="F503" s="143"/>
      <c r="G503" s="143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</row>
    <row r="504" spans="1:19" ht="19.5">
      <c r="A504" s="136"/>
      <c r="B504" s="143"/>
      <c r="C504" s="143"/>
      <c r="D504" s="143"/>
      <c r="E504" s="143"/>
      <c r="F504" s="143"/>
      <c r="G504" s="143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</row>
    <row r="505" spans="1:19" ht="19.5">
      <c r="A505" s="136"/>
      <c r="B505" s="143"/>
      <c r="C505" s="143"/>
      <c r="D505" s="143"/>
      <c r="E505" s="143"/>
      <c r="F505" s="143"/>
      <c r="G505" s="143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</row>
    <row r="506" spans="1:19" ht="19.5">
      <c r="A506" s="136"/>
      <c r="B506" s="143"/>
      <c r="C506" s="143"/>
      <c r="D506" s="143"/>
      <c r="E506" s="143"/>
      <c r="F506" s="143"/>
      <c r="G506" s="143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</row>
    <row r="507" spans="1:19" ht="19.5">
      <c r="A507" s="136"/>
      <c r="B507" s="143"/>
      <c r="C507" s="143"/>
      <c r="D507" s="143"/>
      <c r="E507" s="143"/>
      <c r="F507" s="143"/>
      <c r="G507" s="143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</row>
    <row r="508" spans="1:19" ht="19.5">
      <c r="A508" s="136"/>
      <c r="B508" s="143"/>
      <c r="C508" s="143"/>
      <c r="D508" s="143"/>
      <c r="E508" s="143"/>
      <c r="F508" s="143"/>
      <c r="G508" s="143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</row>
    <row r="509" spans="1:19" ht="19.5">
      <c r="A509" s="136"/>
      <c r="B509" s="143"/>
      <c r="C509" s="143"/>
      <c r="D509" s="143"/>
      <c r="E509" s="143"/>
      <c r="F509" s="143"/>
      <c r="G509" s="143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</row>
    <row r="510" spans="1:19" ht="19.5">
      <c r="A510" s="136"/>
      <c r="B510" s="143"/>
      <c r="C510" s="143"/>
      <c r="D510" s="143"/>
      <c r="E510" s="143"/>
      <c r="F510" s="143"/>
      <c r="G510" s="143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</row>
    <row r="511" spans="1:19" ht="19.5">
      <c r="A511" s="136"/>
      <c r="B511" s="143"/>
      <c r="C511" s="143"/>
      <c r="D511" s="143"/>
      <c r="E511" s="143"/>
      <c r="F511" s="143"/>
      <c r="G511" s="143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</row>
    <row r="512" spans="1:19" ht="19.5">
      <c r="A512" s="136"/>
      <c r="B512" s="143"/>
      <c r="C512" s="143"/>
      <c r="D512" s="143"/>
      <c r="E512" s="143"/>
      <c r="F512" s="143"/>
      <c r="G512" s="143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</row>
    <row r="513" spans="1:19" ht="19.5">
      <c r="A513" s="136"/>
      <c r="B513" s="143"/>
      <c r="C513" s="143"/>
      <c r="D513" s="143"/>
      <c r="E513" s="143"/>
      <c r="F513" s="143"/>
      <c r="G513" s="143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</row>
    <row r="514" spans="1:19" ht="19.5">
      <c r="A514" s="136"/>
      <c r="B514" s="143"/>
      <c r="C514" s="143"/>
      <c r="D514" s="143"/>
      <c r="E514" s="143"/>
      <c r="F514" s="143"/>
      <c r="G514" s="143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</row>
    <row r="515" spans="1:19" ht="19.5">
      <c r="A515" s="136"/>
      <c r="B515" s="143"/>
      <c r="C515" s="143"/>
      <c r="D515" s="143"/>
      <c r="E515" s="143"/>
      <c r="F515" s="143"/>
      <c r="G515" s="143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</row>
    <row r="516" spans="1:19" ht="19.5">
      <c r="A516" s="136"/>
      <c r="B516" s="143"/>
      <c r="C516" s="143"/>
      <c r="D516" s="143"/>
      <c r="E516" s="143"/>
      <c r="F516" s="143"/>
      <c r="G516" s="143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</row>
    <row r="517" spans="1:19" ht="19.5">
      <c r="A517" s="136"/>
      <c r="B517" s="143"/>
      <c r="C517" s="143"/>
      <c r="D517" s="143"/>
      <c r="E517" s="143"/>
      <c r="F517" s="143"/>
      <c r="G517" s="143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</row>
    <row r="518" spans="1:19" ht="19.5">
      <c r="A518" s="136"/>
      <c r="B518" s="143"/>
      <c r="C518" s="143"/>
      <c r="D518" s="143"/>
      <c r="E518" s="143"/>
      <c r="F518" s="143"/>
      <c r="G518" s="143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</row>
    <row r="519" spans="1:19" ht="19.5">
      <c r="A519" s="136"/>
      <c r="B519" s="143"/>
      <c r="C519" s="143"/>
      <c r="D519" s="143"/>
      <c r="E519" s="143"/>
      <c r="F519" s="143"/>
      <c r="G519" s="143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</row>
    <row r="520" spans="1:19" ht="19.5">
      <c r="A520" s="136"/>
      <c r="B520" s="143"/>
      <c r="C520" s="143"/>
      <c r="D520" s="143"/>
      <c r="E520" s="143"/>
      <c r="F520" s="143"/>
      <c r="G520" s="143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</row>
    <row r="521" spans="1:19" ht="19.5">
      <c r="A521" s="136"/>
      <c r="B521" s="143"/>
      <c r="C521" s="143"/>
      <c r="D521" s="143"/>
      <c r="E521" s="143"/>
      <c r="F521" s="143"/>
      <c r="G521" s="143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</row>
    <row r="522" spans="1:19" ht="19.5">
      <c r="A522" s="136"/>
      <c r="B522" s="143"/>
      <c r="C522" s="143"/>
      <c r="D522" s="143"/>
      <c r="E522" s="143"/>
      <c r="F522" s="143"/>
      <c r="G522" s="143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</row>
    <row r="523" spans="1:19" ht="19.5">
      <c r="A523" s="136"/>
      <c r="B523" s="143"/>
      <c r="C523" s="143"/>
      <c r="D523" s="143"/>
      <c r="E523" s="143"/>
      <c r="F523" s="143"/>
      <c r="G523" s="143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</row>
    <row r="524" spans="1:19" ht="19.5">
      <c r="A524" s="136"/>
      <c r="B524" s="143"/>
      <c r="C524" s="143"/>
      <c r="D524" s="143"/>
      <c r="E524" s="143"/>
      <c r="F524" s="143"/>
      <c r="G524" s="143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</row>
    <row r="525" spans="1:19" ht="19.5">
      <c r="A525" s="136"/>
      <c r="B525" s="143"/>
      <c r="C525" s="143"/>
      <c r="D525" s="143"/>
      <c r="E525" s="143"/>
      <c r="F525" s="143"/>
      <c r="G525" s="143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</row>
    <row r="526" spans="1:19" ht="19.5">
      <c r="A526" s="136"/>
      <c r="B526" s="143"/>
      <c r="C526" s="143"/>
      <c r="D526" s="143"/>
      <c r="E526" s="143"/>
      <c r="F526" s="143"/>
      <c r="G526" s="143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</row>
    <row r="527" spans="1:19" ht="19.5">
      <c r="A527" s="136"/>
      <c r="B527" s="143"/>
      <c r="C527" s="143"/>
      <c r="D527" s="143"/>
      <c r="E527" s="143"/>
      <c r="F527" s="143"/>
      <c r="G527" s="143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</row>
    <row r="528" spans="1:19" ht="19.5">
      <c r="A528" s="136"/>
      <c r="B528" s="143"/>
      <c r="C528" s="143"/>
      <c r="D528" s="143"/>
      <c r="E528" s="143"/>
      <c r="F528" s="143"/>
      <c r="G528" s="143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</row>
    <row r="529" spans="1:19" ht="19.5">
      <c r="A529" s="136"/>
      <c r="B529" s="143"/>
      <c r="C529" s="143"/>
      <c r="D529" s="143"/>
      <c r="E529" s="143"/>
      <c r="F529" s="143"/>
      <c r="G529" s="143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</row>
    <row r="530" spans="1:19" ht="19.5">
      <c r="A530" s="136"/>
      <c r="B530" s="143"/>
      <c r="C530" s="143"/>
      <c r="D530" s="143"/>
      <c r="E530" s="143"/>
      <c r="F530" s="143"/>
      <c r="G530" s="143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</row>
    <row r="531" spans="1:19" ht="19.5">
      <c r="A531" s="136"/>
      <c r="B531" s="143"/>
      <c r="C531" s="143"/>
      <c r="D531" s="143"/>
      <c r="E531" s="143"/>
      <c r="F531" s="143"/>
      <c r="G531" s="143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</row>
    <row r="532" spans="1:19" ht="19.5">
      <c r="A532" s="136"/>
      <c r="B532" s="143"/>
      <c r="C532" s="143"/>
      <c r="D532" s="143"/>
      <c r="E532" s="143"/>
      <c r="F532" s="143"/>
      <c r="G532" s="143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</row>
    <row r="533" spans="1:19" ht="19.5">
      <c r="A533" s="136"/>
      <c r="B533" s="143"/>
      <c r="C533" s="143"/>
      <c r="D533" s="143"/>
      <c r="E533" s="143"/>
      <c r="F533" s="143"/>
      <c r="G533" s="143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</row>
    <row r="534" spans="1:19" ht="19.5">
      <c r="A534" s="136"/>
      <c r="B534" s="143"/>
      <c r="C534" s="143"/>
      <c r="D534" s="143"/>
      <c r="E534" s="143"/>
      <c r="F534" s="143"/>
      <c r="G534" s="143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</row>
    <row r="535" spans="1:19" ht="19.5">
      <c r="A535" s="136"/>
      <c r="B535" s="143"/>
      <c r="C535" s="143"/>
      <c r="D535" s="143"/>
      <c r="E535" s="143"/>
      <c r="F535" s="143"/>
      <c r="G535" s="143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</row>
    <row r="536" spans="1:19" ht="19.5">
      <c r="A536" s="136"/>
      <c r="B536" s="143"/>
      <c r="C536" s="143"/>
      <c r="D536" s="143"/>
      <c r="E536" s="143"/>
      <c r="F536" s="143"/>
      <c r="G536" s="143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</row>
    <row r="537" spans="1:19" ht="19.5">
      <c r="A537" s="136"/>
      <c r="B537" s="143"/>
      <c r="C537" s="143"/>
      <c r="D537" s="143"/>
      <c r="E537" s="143"/>
      <c r="F537" s="143"/>
      <c r="G537" s="143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</row>
    <row r="538" spans="1:19" ht="19.5">
      <c r="A538" s="136"/>
      <c r="B538" s="143"/>
      <c r="C538" s="143"/>
      <c r="D538" s="143"/>
      <c r="E538" s="143"/>
      <c r="F538" s="143"/>
      <c r="G538" s="143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</row>
    <row r="539" spans="1:19" ht="19.5">
      <c r="A539" s="136"/>
      <c r="B539" s="143"/>
      <c r="C539" s="143"/>
      <c r="D539" s="143"/>
      <c r="E539" s="143"/>
      <c r="F539" s="143"/>
      <c r="G539" s="143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</row>
    <row r="540" spans="1:19" ht="19.5">
      <c r="A540" s="136"/>
      <c r="B540" s="143"/>
      <c r="C540" s="143"/>
      <c r="D540" s="143"/>
      <c r="E540" s="143"/>
      <c r="F540" s="143"/>
      <c r="G540" s="143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</row>
    <row r="541" spans="1:19" ht="19.5">
      <c r="A541" s="136"/>
      <c r="B541" s="143"/>
      <c r="C541" s="143"/>
      <c r="D541" s="143"/>
      <c r="E541" s="143"/>
      <c r="F541" s="143"/>
      <c r="G541" s="143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</row>
    <row r="542" spans="1:19" ht="19.5">
      <c r="A542" s="136"/>
      <c r="B542" s="143"/>
      <c r="C542" s="143"/>
      <c r="D542" s="143"/>
      <c r="E542" s="143"/>
      <c r="F542" s="143"/>
      <c r="G542" s="143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</row>
    <row r="543" spans="1:19" ht="19.5">
      <c r="A543" s="136"/>
      <c r="B543" s="143"/>
      <c r="C543" s="143"/>
      <c r="D543" s="143"/>
      <c r="E543" s="143"/>
      <c r="F543" s="143"/>
      <c r="G543" s="143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</row>
    <row r="544" spans="1:19" ht="19.5">
      <c r="A544" s="136"/>
      <c r="B544" s="143"/>
      <c r="C544" s="143"/>
      <c r="D544" s="143"/>
      <c r="E544" s="143"/>
      <c r="F544" s="143"/>
      <c r="G544" s="143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</row>
    <row r="545" spans="1:19" ht="19.5">
      <c r="A545" s="136"/>
      <c r="B545" s="143"/>
      <c r="C545" s="143"/>
      <c r="D545" s="143"/>
      <c r="E545" s="143"/>
      <c r="F545" s="143"/>
      <c r="G545" s="143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</row>
    <row r="546" spans="1:19" ht="19.5">
      <c r="A546" s="136"/>
      <c r="B546" s="143"/>
      <c r="C546" s="143"/>
      <c r="D546" s="143"/>
      <c r="E546" s="143"/>
      <c r="F546" s="143"/>
      <c r="G546" s="143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</row>
    <row r="547" spans="1:19" ht="19.5">
      <c r="A547" s="136"/>
      <c r="B547" s="143"/>
      <c r="C547" s="143"/>
      <c r="D547" s="143"/>
      <c r="E547" s="143"/>
      <c r="F547" s="143"/>
      <c r="G547" s="143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</row>
    <row r="548" spans="1:19" ht="19.5">
      <c r="A548" s="136"/>
      <c r="B548" s="143"/>
      <c r="C548" s="143"/>
      <c r="D548" s="143"/>
      <c r="E548" s="143"/>
      <c r="F548" s="143"/>
      <c r="G548" s="143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</row>
    <row r="549" spans="1:19" ht="19.5">
      <c r="A549" s="136"/>
      <c r="B549" s="143"/>
      <c r="C549" s="143"/>
      <c r="D549" s="143"/>
      <c r="E549" s="143"/>
      <c r="F549" s="143"/>
      <c r="G549" s="143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</row>
    <row r="550" spans="1:19" ht="19.5">
      <c r="A550" s="136"/>
      <c r="B550" s="143"/>
      <c r="C550" s="143"/>
      <c r="D550" s="143"/>
      <c r="E550" s="143"/>
      <c r="F550" s="143"/>
      <c r="G550" s="143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</row>
    <row r="551" spans="1:19" ht="19.5">
      <c r="A551" s="136"/>
      <c r="B551" s="143"/>
      <c r="C551" s="143"/>
      <c r="D551" s="143"/>
      <c r="E551" s="143"/>
      <c r="F551" s="143"/>
      <c r="G551" s="143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</row>
    <row r="552" spans="1:19" ht="19.5">
      <c r="A552" s="136"/>
      <c r="B552" s="143"/>
      <c r="C552" s="143"/>
      <c r="D552" s="143"/>
      <c r="E552" s="143"/>
      <c r="F552" s="143"/>
      <c r="G552" s="143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</row>
    <row r="553" spans="1:19" ht="19.5">
      <c r="A553" s="136"/>
      <c r="B553" s="143"/>
      <c r="C553" s="143"/>
      <c r="D553" s="143"/>
      <c r="E553" s="143"/>
      <c r="F553" s="143"/>
      <c r="G553" s="143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</row>
    <row r="554" spans="1:19" ht="19.5">
      <c r="A554" s="136"/>
      <c r="B554" s="143"/>
      <c r="C554" s="143"/>
      <c r="D554" s="143"/>
      <c r="E554" s="143"/>
      <c r="F554" s="143"/>
      <c r="G554" s="143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</row>
    <row r="555" spans="1:19" ht="19.5">
      <c r="A555" s="136"/>
      <c r="B555" s="143"/>
      <c r="C555" s="143"/>
      <c r="D555" s="143"/>
      <c r="E555" s="143"/>
      <c r="F555" s="143"/>
      <c r="G555" s="143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</row>
    <row r="556" spans="1:19" ht="19.5">
      <c r="A556" s="136"/>
      <c r="B556" s="143"/>
      <c r="C556" s="143"/>
      <c r="D556" s="143"/>
      <c r="E556" s="143"/>
      <c r="F556" s="143"/>
      <c r="G556" s="143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</row>
    <row r="557" spans="1:19" ht="19.5">
      <c r="A557" s="136"/>
      <c r="B557" s="143"/>
      <c r="C557" s="143"/>
      <c r="D557" s="143"/>
      <c r="E557" s="143"/>
      <c r="F557" s="143"/>
      <c r="G557" s="143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</row>
    <row r="558" spans="1:19" ht="19.5">
      <c r="A558" s="136"/>
      <c r="B558" s="143"/>
      <c r="C558" s="143"/>
      <c r="D558" s="143"/>
      <c r="E558" s="143"/>
      <c r="F558" s="143"/>
      <c r="G558" s="143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</row>
    <row r="559" spans="1:19" ht="19.5">
      <c r="A559" s="136"/>
      <c r="B559" s="143"/>
      <c r="C559" s="143"/>
      <c r="D559" s="143"/>
      <c r="E559" s="143"/>
      <c r="F559" s="143"/>
      <c r="G559" s="143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</row>
    <row r="560" spans="1:19" ht="19.5">
      <c r="A560" s="136"/>
      <c r="B560" s="143"/>
      <c r="C560" s="143"/>
      <c r="D560" s="143"/>
      <c r="E560" s="143"/>
      <c r="F560" s="143"/>
      <c r="G560" s="143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</row>
    <row r="561" spans="1:19" ht="19.5">
      <c r="A561" s="136"/>
      <c r="B561" s="143"/>
      <c r="C561" s="143"/>
      <c r="D561" s="143"/>
      <c r="E561" s="143"/>
      <c r="F561" s="143"/>
      <c r="G561" s="143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</row>
    <row r="562" spans="1:19" ht="19.5">
      <c r="A562" s="136"/>
      <c r="B562" s="143"/>
      <c r="C562" s="143"/>
      <c r="D562" s="143"/>
      <c r="E562" s="143"/>
      <c r="F562" s="143"/>
      <c r="G562" s="143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</row>
    <row r="563" spans="1:19" ht="19.5">
      <c r="A563" s="136"/>
      <c r="B563" s="143"/>
      <c r="C563" s="143"/>
      <c r="D563" s="143"/>
      <c r="E563" s="143"/>
      <c r="F563" s="143"/>
      <c r="G563" s="143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</row>
    <row r="564" spans="1:19" ht="19.5">
      <c r="A564" s="136"/>
      <c r="B564" s="143"/>
      <c r="C564" s="143"/>
      <c r="D564" s="143"/>
      <c r="E564" s="143"/>
      <c r="F564" s="143"/>
      <c r="G564" s="143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</row>
    <row r="565" spans="1:19" ht="19.5">
      <c r="A565" s="136"/>
      <c r="B565" s="143"/>
      <c r="C565" s="143"/>
      <c r="D565" s="143"/>
      <c r="E565" s="143"/>
      <c r="F565" s="143"/>
      <c r="G565" s="143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</row>
    <row r="566" spans="1:19" ht="19.5">
      <c r="A566" s="136"/>
      <c r="B566" s="143"/>
      <c r="C566" s="143"/>
      <c r="D566" s="143"/>
      <c r="E566" s="143"/>
      <c r="F566" s="143"/>
      <c r="G566" s="143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</row>
    <row r="567" spans="1:19" ht="19.5">
      <c r="A567" s="136"/>
      <c r="B567" s="143"/>
      <c r="C567" s="143"/>
      <c r="D567" s="143"/>
      <c r="E567" s="143"/>
      <c r="F567" s="143"/>
      <c r="G567" s="143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</row>
    <row r="568" spans="1:19" ht="19.5">
      <c r="A568" s="136"/>
      <c r="B568" s="143"/>
      <c r="C568" s="143"/>
      <c r="D568" s="143"/>
      <c r="E568" s="143"/>
      <c r="F568" s="143"/>
      <c r="G568" s="143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</row>
    <row r="569" spans="1:19" ht="19.5">
      <c r="A569" s="136"/>
      <c r="B569" s="143"/>
      <c r="C569" s="143"/>
      <c r="D569" s="143"/>
      <c r="E569" s="143"/>
      <c r="F569" s="143"/>
      <c r="G569" s="143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</row>
    <row r="570" spans="1:19" ht="19.5">
      <c r="A570" s="136"/>
      <c r="B570" s="143"/>
      <c r="C570" s="143"/>
      <c r="D570" s="143"/>
      <c r="E570" s="143"/>
      <c r="F570" s="143"/>
      <c r="G570" s="143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</row>
    <row r="571" spans="1:19" ht="19.5">
      <c r="A571" s="136"/>
      <c r="B571" s="143"/>
      <c r="C571" s="143"/>
      <c r="D571" s="143"/>
      <c r="E571" s="143"/>
      <c r="F571" s="143"/>
      <c r="G571" s="143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</row>
    <row r="572" spans="1:19" ht="19.5">
      <c r="A572" s="136"/>
      <c r="B572" s="143"/>
      <c r="C572" s="143"/>
      <c r="D572" s="143"/>
      <c r="E572" s="143"/>
      <c r="F572" s="143"/>
      <c r="G572" s="143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</row>
    <row r="573" spans="1:19" ht="19.5">
      <c r="A573" s="136"/>
      <c r="B573" s="143"/>
      <c r="C573" s="143"/>
      <c r="D573" s="143"/>
      <c r="E573" s="143"/>
      <c r="F573" s="143"/>
      <c r="G573" s="143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</row>
    <row r="574" spans="1:19" ht="19.5">
      <c r="A574" s="136"/>
      <c r="B574" s="143"/>
      <c r="C574" s="143"/>
      <c r="D574" s="143"/>
      <c r="E574" s="143"/>
      <c r="F574" s="143"/>
      <c r="G574" s="143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</row>
    <row r="575" spans="1:19" ht="19.5">
      <c r="A575" s="136"/>
      <c r="B575" s="143"/>
      <c r="C575" s="143"/>
      <c r="D575" s="143"/>
      <c r="E575" s="143"/>
      <c r="F575" s="143"/>
      <c r="G575" s="143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</row>
    <row r="576" spans="1:19" ht="19.5">
      <c r="A576" s="136"/>
      <c r="B576" s="143"/>
      <c r="C576" s="143"/>
      <c r="D576" s="143"/>
      <c r="E576" s="143"/>
      <c r="F576" s="143"/>
      <c r="G576" s="143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</row>
    <row r="577" spans="1:19" ht="19.5">
      <c r="A577" s="136"/>
      <c r="B577" s="143"/>
      <c r="C577" s="143"/>
      <c r="D577" s="143"/>
      <c r="E577" s="143"/>
      <c r="F577" s="143"/>
      <c r="G577" s="143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</row>
    <row r="578" spans="1:19" ht="19.5">
      <c r="A578" s="136"/>
      <c r="B578" s="143"/>
      <c r="C578" s="143"/>
      <c r="D578" s="143"/>
      <c r="E578" s="143"/>
      <c r="F578" s="143"/>
      <c r="G578" s="143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</row>
    <row r="579" spans="1:19" ht="19.5">
      <c r="A579" s="136"/>
      <c r="B579" s="143"/>
      <c r="C579" s="143"/>
      <c r="D579" s="143"/>
      <c r="E579" s="143"/>
      <c r="F579" s="143"/>
      <c r="G579" s="143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</row>
    <row r="580" spans="1:19" ht="19.5">
      <c r="A580" s="136"/>
      <c r="B580" s="143"/>
      <c r="C580" s="143"/>
      <c r="D580" s="143"/>
      <c r="E580" s="143"/>
      <c r="F580" s="143"/>
      <c r="G580" s="143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</row>
    <row r="581" spans="1:19" ht="19.5">
      <c r="A581" s="136"/>
      <c r="B581" s="143"/>
      <c r="C581" s="143"/>
      <c r="D581" s="143"/>
      <c r="E581" s="143"/>
      <c r="F581" s="143"/>
      <c r="G581" s="143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</row>
    <row r="582" spans="1:19" ht="19.5">
      <c r="A582" s="136"/>
      <c r="B582" s="143"/>
      <c r="C582" s="143"/>
      <c r="D582" s="143"/>
      <c r="E582" s="143"/>
      <c r="F582" s="143"/>
      <c r="G582" s="143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</row>
    <row r="583" spans="1:19" ht="19.5">
      <c r="A583" s="136"/>
      <c r="B583" s="143"/>
      <c r="C583" s="143"/>
      <c r="D583" s="143"/>
      <c r="E583" s="143"/>
      <c r="F583" s="143"/>
      <c r="G583" s="143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</row>
    <row r="584" spans="1:19" ht="19.5">
      <c r="A584" s="136"/>
      <c r="B584" s="143"/>
      <c r="C584" s="143"/>
      <c r="D584" s="143"/>
      <c r="E584" s="143"/>
      <c r="F584" s="143"/>
      <c r="G584" s="143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</row>
    <row r="585" spans="1:19" ht="19.5">
      <c r="A585" s="136"/>
      <c r="B585" s="143"/>
      <c r="C585" s="143"/>
      <c r="D585" s="143"/>
      <c r="E585" s="143"/>
      <c r="F585" s="143"/>
      <c r="G585" s="143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</row>
    <row r="586" spans="1:19" ht="19.5">
      <c r="A586" s="136"/>
      <c r="B586" s="143"/>
      <c r="C586" s="143"/>
      <c r="D586" s="143"/>
      <c r="E586" s="143"/>
      <c r="F586" s="143"/>
      <c r="G586" s="143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</row>
    <row r="587" spans="1:19" ht="19.5">
      <c r="A587" s="136"/>
      <c r="B587" s="143"/>
      <c r="C587" s="143"/>
      <c r="D587" s="143"/>
      <c r="E587" s="143"/>
      <c r="F587" s="143"/>
      <c r="G587" s="143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</row>
    <row r="588" spans="1:19" ht="19.5">
      <c r="A588" s="136"/>
      <c r="B588" s="143"/>
      <c r="C588" s="143"/>
      <c r="D588" s="143"/>
      <c r="E588" s="143"/>
      <c r="F588" s="143"/>
      <c r="G588" s="143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</row>
    <row r="589" spans="1:19" ht="19.5">
      <c r="A589" s="136"/>
      <c r="B589" s="143"/>
      <c r="C589" s="143"/>
      <c r="D589" s="143"/>
      <c r="E589" s="143"/>
      <c r="F589" s="143"/>
      <c r="G589" s="143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</row>
    <row r="590" spans="1:19" ht="19.5">
      <c r="A590" s="136"/>
      <c r="B590" s="143"/>
      <c r="C590" s="143"/>
      <c r="D590" s="143"/>
      <c r="E590" s="143"/>
      <c r="F590" s="143"/>
      <c r="G590" s="143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</row>
    <row r="591" spans="1:19" ht="19.5">
      <c r="A591" s="136"/>
      <c r="B591" s="143"/>
      <c r="C591" s="143"/>
      <c r="D591" s="143"/>
      <c r="E591" s="143"/>
      <c r="F591" s="143"/>
      <c r="G591" s="143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</row>
    <row r="592" spans="1:19" ht="19.5">
      <c r="A592" s="136"/>
      <c r="B592" s="143"/>
      <c r="C592" s="143"/>
      <c r="D592" s="143"/>
      <c r="E592" s="143"/>
      <c r="F592" s="143"/>
      <c r="G592" s="143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</row>
    <row r="593" spans="1:19" ht="19.5">
      <c r="A593" s="136"/>
      <c r="B593" s="143"/>
      <c r="C593" s="143"/>
      <c r="D593" s="143"/>
      <c r="E593" s="143"/>
      <c r="F593" s="143"/>
      <c r="G593" s="143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</row>
    <row r="594" spans="1:19" ht="19.5">
      <c r="A594" s="136"/>
      <c r="B594" s="143"/>
      <c r="C594" s="143"/>
      <c r="D594" s="143"/>
      <c r="E594" s="143"/>
      <c r="F594" s="143"/>
      <c r="G594" s="143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</row>
    <row r="595" spans="1:19" ht="19.5">
      <c r="A595" s="136"/>
      <c r="B595" s="143"/>
      <c r="C595" s="143"/>
      <c r="D595" s="143"/>
      <c r="E595" s="143"/>
      <c r="F595" s="143"/>
      <c r="G595" s="143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</row>
    <row r="596" spans="1:19" ht="19.5">
      <c r="A596" s="136"/>
      <c r="B596" s="143"/>
      <c r="C596" s="143"/>
      <c r="D596" s="143"/>
      <c r="E596" s="143"/>
      <c r="F596" s="143"/>
      <c r="G596" s="143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</row>
    <row r="597" spans="1:19" ht="19.5">
      <c r="A597" s="136"/>
      <c r="B597" s="143"/>
      <c r="C597" s="143"/>
      <c r="D597" s="143"/>
      <c r="E597" s="143"/>
      <c r="F597" s="143"/>
      <c r="G597" s="143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</row>
    <row r="598" spans="1:19" ht="19.5">
      <c r="A598" s="136"/>
      <c r="B598" s="143"/>
      <c r="C598" s="143"/>
      <c r="D598" s="143"/>
      <c r="E598" s="143"/>
      <c r="F598" s="143"/>
      <c r="G598" s="143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</row>
    <row r="599" spans="1:19" ht="19.5">
      <c r="A599" s="136"/>
      <c r="B599" s="143"/>
      <c r="C599" s="143"/>
      <c r="D599" s="143"/>
      <c r="E599" s="143"/>
      <c r="F599" s="143"/>
      <c r="G599" s="143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</row>
    <row r="600" spans="1:19" ht="19.5">
      <c r="A600" s="136"/>
      <c r="B600" s="143"/>
      <c r="C600" s="143"/>
      <c r="D600" s="143"/>
      <c r="E600" s="143"/>
      <c r="F600" s="143"/>
      <c r="G600" s="143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</row>
    <row r="601" spans="1:19" ht="19.5">
      <c r="A601" s="136"/>
      <c r="B601" s="143"/>
      <c r="C601" s="143"/>
      <c r="D601" s="143"/>
      <c r="E601" s="143"/>
      <c r="F601" s="143"/>
      <c r="G601" s="143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</row>
    <row r="602" spans="1:19" ht="19.5">
      <c r="A602" s="136"/>
      <c r="B602" s="143"/>
      <c r="C602" s="143"/>
      <c r="D602" s="143"/>
      <c r="E602" s="143"/>
      <c r="F602" s="143"/>
      <c r="G602" s="143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</row>
    <row r="603" spans="1:19" ht="19.5">
      <c r="A603" s="136"/>
      <c r="B603" s="143"/>
      <c r="C603" s="143"/>
      <c r="D603" s="143"/>
      <c r="E603" s="143"/>
      <c r="F603" s="143"/>
      <c r="G603" s="143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</row>
    <row r="604" spans="1:19" ht="19.5">
      <c r="A604" s="136"/>
      <c r="B604" s="143"/>
      <c r="C604" s="143"/>
      <c r="D604" s="143"/>
      <c r="E604" s="143"/>
      <c r="F604" s="143"/>
      <c r="G604" s="143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</row>
    <row r="605" spans="1:19" ht="19.5">
      <c r="A605" s="136"/>
      <c r="B605" s="143"/>
      <c r="C605" s="143"/>
      <c r="D605" s="143"/>
      <c r="E605" s="143"/>
      <c r="F605" s="143"/>
      <c r="G605" s="143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</row>
    <row r="606" spans="1:19" ht="19.5">
      <c r="A606" s="136"/>
      <c r="B606" s="143"/>
      <c r="C606" s="143"/>
      <c r="D606" s="143"/>
      <c r="E606" s="143"/>
      <c r="F606" s="143"/>
      <c r="G606" s="143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</row>
    <row r="607" spans="1:19" ht="19.5">
      <c r="A607" s="136"/>
      <c r="B607" s="143"/>
      <c r="C607" s="143"/>
      <c r="D607" s="143"/>
      <c r="E607" s="143"/>
      <c r="F607" s="143"/>
      <c r="G607" s="143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</row>
    <row r="608" spans="1:19" ht="19.5">
      <c r="A608" s="136"/>
      <c r="B608" s="143"/>
      <c r="C608" s="143"/>
      <c r="D608" s="143"/>
      <c r="E608" s="143"/>
      <c r="F608" s="143"/>
      <c r="G608" s="143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</row>
    <row r="609" spans="1:19" ht="19.5">
      <c r="A609" s="136"/>
      <c r="B609" s="143"/>
      <c r="C609" s="143"/>
      <c r="D609" s="143"/>
      <c r="E609" s="143"/>
      <c r="F609" s="143"/>
      <c r="G609" s="143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</row>
    <row r="610" spans="1:19" ht="19.5">
      <c r="A610" s="136"/>
      <c r="B610" s="143"/>
      <c r="C610" s="143"/>
      <c r="D610" s="143"/>
      <c r="E610" s="143"/>
      <c r="F610" s="143"/>
      <c r="G610" s="143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</row>
    <row r="611" spans="1:19" ht="19.5">
      <c r="A611" s="136"/>
      <c r="B611" s="143"/>
      <c r="C611" s="143"/>
      <c r="D611" s="143"/>
      <c r="E611" s="143"/>
      <c r="F611" s="143"/>
      <c r="G611" s="143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</row>
    <row r="612" spans="1:19" ht="19.5">
      <c r="A612" s="136"/>
      <c r="B612" s="143"/>
      <c r="C612" s="143"/>
      <c r="D612" s="143"/>
      <c r="E612" s="143"/>
      <c r="F612" s="143"/>
      <c r="G612" s="143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</row>
    <row r="613" spans="1:19" ht="19.5">
      <c r="A613" s="136"/>
      <c r="B613" s="143"/>
      <c r="C613" s="143"/>
      <c r="D613" s="143"/>
      <c r="E613" s="143"/>
      <c r="F613" s="143"/>
      <c r="G613" s="143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</row>
    <row r="614" spans="1:19" ht="19.5">
      <c r="A614" s="136"/>
      <c r="B614" s="143"/>
      <c r="C614" s="143"/>
      <c r="D614" s="143"/>
      <c r="E614" s="143"/>
      <c r="F614" s="143"/>
      <c r="G614" s="143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</row>
    <row r="615" spans="1:19" ht="19.5">
      <c r="A615" s="136"/>
      <c r="B615" s="143"/>
      <c r="C615" s="143"/>
      <c r="D615" s="143"/>
      <c r="E615" s="143"/>
      <c r="F615" s="143"/>
      <c r="G615" s="143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</row>
    <row r="616" spans="1:19" ht="19.5">
      <c r="A616" s="136"/>
      <c r="B616" s="143"/>
      <c r="C616" s="143"/>
      <c r="D616" s="143"/>
      <c r="E616" s="143"/>
      <c r="F616" s="143"/>
      <c r="G616" s="143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</row>
    <row r="617" spans="1:19" ht="19.5">
      <c r="A617" s="136"/>
      <c r="B617" s="143"/>
      <c r="C617" s="143"/>
      <c r="D617" s="143"/>
      <c r="E617" s="143"/>
      <c r="F617" s="143"/>
      <c r="G617" s="143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</row>
    <row r="618" spans="1:19" ht="19.5">
      <c r="A618" s="136"/>
      <c r="B618" s="143"/>
      <c r="C618" s="143"/>
      <c r="D618" s="143"/>
      <c r="E618" s="143"/>
      <c r="F618" s="143"/>
      <c r="G618" s="143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</row>
    <row r="619" spans="1:19" ht="19.5">
      <c r="A619" s="136"/>
      <c r="B619" s="143"/>
      <c r="C619" s="143"/>
      <c r="D619" s="143"/>
      <c r="E619" s="143"/>
      <c r="F619" s="143"/>
      <c r="G619" s="143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</row>
    <row r="620" spans="1:19" ht="19.5">
      <c r="A620" s="136"/>
      <c r="B620" s="143"/>
      <c r="C620" s="143"/>
      <c r="D620" s="143"/>
      <c r="E620" s="143"/>
      <c r="F620" s="143"/>
      <c r="G620" s="143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</row>
    <row r="621" spans="1:19" ht="19.5">
      <c r="A621" s="136"/>
      <c r="B621" s="143"/>
      <c r="C621" s="143"/>
      <c r="D621" s="143"/>
      <c r="E621" s="143"/>
      <c r="F621" s="143"/>
      <c r="G621" s="143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</row>
    <row r="622" spans="1:19" ht="19.5">
      <c r="A622" s="136"/>
      <c r="B622" s="143"/>
      <c r="C622" s="143"/>
      <c r="D622" s="143"/>
      <c r="E622" s="143"/>
      <c r="F622" s="143"/>
      <c r="G622" s="143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</row>
    <row r="623" spans="1:19" ht="19.5">
      <c r="A623" s="136"/>
      <c r="B623" s="143"/>
      <c r="C623" s="143"/>
      <c r="D623" s="143"/>
      <c r="E623" s="143"/>
      <c r="F623" s="143"/>
      <c r="G623" s="143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</row>
    <row r="624" spans="1:19" ht="19.5">
      <c r="A624" s="136"/>
      <c r="B624" s="143"/>
      <c r="C624" s="143"/>
      <c r="D624" s="143"/>
      <c r="E624" s="143"/>
      <c r="F624" s="143"/>
      <c r="G624" s="143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</row>
    <row r="625" spans="1:19" ht="19.5">
      <c r="A625" s="136"/>
      <c r="B625" s="143"/>
      <c r="C625" s="143"/>
      <c r="D625" s="143"/>
      <c r="E625" s="143"/>
      <c r="F625" s="143"/>
      <c r="G625" s="143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</row>
    <row r="626" spans="1:19" ht="19.5">
      <c r="A626" s="136"/>
      <c r="B626" s="143"/>
      <c r="C626" s="143"/>
      <c r="D626" s="143"/>
      <c r="E626" s="143"/>
      <c r="F626" s="143"/>
      <c r="G626" s="143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</row>
    <row r="627" spans="1:19" ht="19.5">
      <c r="A627" s="136"/>
      <c r="B627" s="143"/>
      <c r="C627" s="143"/>
      <c r="D627" s="143"/>
      <c r="E627" s="143"/>
      <c r="F627" s="143"/>
      <c r="G627" s="143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</row>
    <row r="628" spans="1:19" ht="19.5">
      <c r="A628" s="136"/>
      <c r="B628" s="143"/>
      <c r="C628" s="143"/>
      <c r="D628" s="143"/>
      <c r="E628" s="143"/>
      <c r="F628" s="143"/>
      <c r="G628" s="143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</row>
    <row r="629" spans="1:19" ht="19.5">
      <c r="A629" s="136"/>
      <c r="B629" s="143"/>
      <c r="C629" s="143"/>
      <c r="D629" s="143"/>
      <c r="E629" s="143"/>
      <c r="F629" s="143"/>
      <c r="G629" s="143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</row>
    <row r="630" spans="1:19" ht="19.5">
      <c r="A630" s="136"/>
      <c r="B630" s="143"/>
      <c r="C630" s="143"/>
      <c r="D630" s="143"/>
      <c r="E630" s="143"/>
      <c r="F630" s="143"/>
      <c r="G630" s="143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</row>
    <row r="631" spans="1:19" ht="19.5">
      <c r="A631" s="136"/>
      <c r="B631" s="143"/>
      <c r="C631" s="143"/>
      <c r="D631" s="143"/>
      <c r="E631" s="143"/>
      <c r="F631" s="143"/>
      <c r="G631" s="143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</row>
    <row r="632" spans="1:19" ht="19.5">
      <c r="A632" s="136"/>
      <c r="B632" s="143"/>
      <c r="C632" s="143"/>
      <c r="D632" s="143"/>
      <c r="E632" s="143"/>
      <c r="F632" s="143"/>
      <c r="G632" s="143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</row>
    <row r="633" spans="1:19" ht="19.5">
      <c r="A633" s="136"/>
      <c r="B633" s="143"/>
      <c r="C633" s="143"/>
      <c r="D633" s="143"/>
      <c r="E633" s="143"/>
      <c r="F633" s="143"/>
      <c r="G633" s="143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</row>
    <row r="634" spans="1:19" ht="19.5">
      <c r="A634" s="136"/>
      <c r="B634" s="143"/>
      <c r="C634" s="143"/>
      <c r="D634" s="143"/>
      <c r="E634" s="143"/>
      <c r="F634" s="143"/>
      <c r="G634" s="143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</row>
    <row r="635" spans="1:19" ht="19.5">
      <c r="A635" s="136"/>
      <c r="B635" s="143"/>
      <c r="C635" s="143"/>
      <c r="D635" s="143"/>
      <c r="E635" s="143"/>
      <c r="F635" s="143"/>
      <c r="G635" s="143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</row>
    <row r="636" spans="1:19" ht="19.5">
      <c r="A636" s="136"/>
      <c r="B636" s="143"/>
      <c r="C636" s="143"/>
      <c r="D636" s="143"/>
      <c r="E636" s="143"/>
      <c r="F636" s="143"/>
      <c r="G636" s="143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</row>
    <row r="637" spans="1:19" ht="19.5">
      <c r="A637" s="136"/>
      <c r="B637" s="143"/>
      <c r="C637" s="143"/>
      <c r="D637" s="143"/>
      <c r="E637" s="143"/>
      <c r="F637" s="143"/>
      <c r="G637" s="143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</row>
    <row r="638" spans="1:19" ht="19.5">
      <c r="A638" s="136"/>
      <c r="B638" s="143"/>
      <c r="C638" s="143"/>
      <c r="D638" s="143"/>
      <c r="E638" s="143"/>
      <c r="F638" s="143"/>
      <c r="G638" s="143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</row>
    <row r="639" spans="1:19" ht="19.5">
      <c r="A639" s="136"/>
      <c r="B639" s="143"/>
      <c r="C639" s="143"/>
      <c r="D639" s="143"/>
      <c r="E639" s="143"/>
      <c r="F639" s="143"/>
      <c r="G639" s="143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</row>
    <row r="640" spans="1:19" ht="19.5">
      <c r="A640" s="136"/>
      <c r="B640" s="143"/>
      <c r="C640" s="143"/>
      <c r="D640" s="143"/>
      <c r="E640" s="143"/>
      <c r="F640" s="143"/>
      <c r="G640" s="143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</row>
    <row r="641" spans="1:19" ht="19.5">
      <c r="A641" s="136"/>
      <c r="B641" s="143"/>
      <c r="C641" s="143"/>
      <c r="D641" s="143"/>
      <c r="E641" s="143"/>
      <c r="F641" s="143"/>
      <c r="G641" s="143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</row>
    <row r="642" spans="1:19" ht="19.5">
      <c r="A642" s="136"/>
      <c r="B642" s="143"/>
      <c r="C642" s="143"/>
      <c r="D642" s="143"/>
      <c r="E642" s="143"/>
      <c r="F642" s="143"/>
      <c r="G642" s="143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</row>
    <row r="643" spans="1:19" ht="19.5">
      <c r="A643" s="136"/>
      <c r="B643" s="143"/>
      <c r="C643" s="143"/>
      <c r="D643" s="143"/>
      <c r="E643" s="143"/>
      <c r="F643" s="143"/>
      <c r="G643" s="143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</row>
    <row r="644" spans="1:19" ht="19.5">
      <c r="A644" s="136"/>
      <c r="B644" s="143"/>
      <c r="C644" s="143"/>
      <c r="D644" s="143"/>
      <c r="E644" s="143"/>
      <c r="F644" s="143"/>
      <c r="G644" s="143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</row>
    <row r="645" spans="1:19" ht="19.5">
      <c r="A645" s="136"/>
      <c r="B645" s="143"/>
      <c r="C645" s="143"/>
      <c r="D645" s="143"/>
      <c r="E645" s="143"/>
      <c r="F645" s="143"/>
      <c r="G645" s="143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</row>
    <row r="646" spans="1:19" ht="19.5">
      <c r="A646" s="136"/>
      <c r="B646" s="143"/>
      <c r="C646" s="143"/>
      <c r="D646" s="143"/>
      <c r="E646" s="143"/>
      <c r="F646" s="143"/>
      <c r="G646" s="143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</row>
    <row r="647" spans="1:19" ht="19.5">
      <c r="A647" s="136"/>
      <c r="B647" s="143"/>
      <c r="C647" s="143"/>
      <c r="D647" s="143"/>
      <c r="E647" s="143"/>
      <c r="F647" s="143"/>
      <c r="G647" s="143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</row>
    <row r="648" spans="1:19" ht="19.5">
      <c r="A648" s="136"/>
      <c r="B648" s="143"/>
      <c r="C648" s="143"/>
      <c r="D648" s="143"/>
      <c r="E648" s="143"/>
      <c r="F648" s="143"/>
      <c r="G648" s="143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</row>
    <row r="649" spans="1:19" ht="19.5">
      <c r="A649" s="136"/>
      <c r="B649" s="143"/>
      <c r="C649" s="143"/>
      <c r="D649" s="143"/>
      <c r="E649" s="143"/>
      <c r="F649" s="143"/>
      <c r="G649" s="143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</row>
    <row r="650" spans="1:19" ht="19.5">
      <c r="A650" s="136"/>
      <c r="B650" s="143"/>
      <c r="C650" s="143"/>
      <c r="D650" s="143"/>
      <c r="E650" s="143"/>
      <c r="F650" s="143"/>
      <c r="G650" s="143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</row>
    <row r="651" spans="1:19" ht="19.5">
      <c r="A651" s="136"/>
      <c r="B651" s="143"/>
      <c r="C651" s="143"/>
      <c r="D651" s="143"/>
      <c r="E651" s="143"/>
      <c r="F651" s="143"/>
      <c r="G651" s="143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</row>
    <row r="652" spans="1:19" ht="19.5">
      <c r="A652" s="136"/>
      <c r="B652" s="143"/>
      <c r="C652" s="143"/>
      <c r="D652" s="143"/>
      <c r="E652" s="143"/>
      <c r="F652" s="143"/>
      <c r="G652" s="143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</row>
    <row r="653" spans="1:19" ht="19.5">
      <c r="A653" s="136"/>
      <c r="B653" s="143"/>
      <c r="C653" s="143"/>
      <c r="D653" s="143"/>
      <c r="E653" s="143"/>
      <c r="F653" s="143"/>
      <c r="G653" s="143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</row>
    <row r="654" spans="1:19" ht="19.5">
      <c r="A654" s="136"/>
      <c r="B654" s="143"/>
      <c r="C654" s="143"/>
      <c r="D654" s="143"/>
      <c r="E654" s="143"/>
      <c r="F654" s="143"/>
      <c r="G654" s="143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</row>
    <row r="655" spans="1:19" ht="19.5">
      <c r="A655" s="136"/>
      <c r="B655" s="143"/>
      <c r="C655" s="143"/>
      <c r="D655" s="143"/>
      <c r="E655" s="143"/>
      <c r="F655" s="143"/>
      <c r="G655" s="143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</row>
    <row r="656" spans="1:19" ht="19.5">
      <c r="A656" s="136"/>
      <c r="B656" s="143"/>
      <c r="C656" s="143"/>
      <c r="D656" s="143"/>
      <c r="E656" s="143"/>
      <c r="F656" s="143"/>
      <c r="G656" s="143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</row>
    <row r="657" spans="1:19" ht="19.5">
      <c r="A657" s="136"/>
      <c r="B657" s="143"/>
      <c r="C657" s="143"/>
      <c r="D657" s="143"/>
      <c r="E657" s="143"/>
      <c r="F657" s="143"/>
      <c r="G657" s="143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</row>
    <row r="658" spans="1:19" ht="19.5">
      <c r="A658" s="136"/>
      <c r="B658" s="143"/>
      <c r="C658" s="143"/>
      <c r="D658" s="143"/>
      <c r="E658" s="143"/>
      <c r="F658" s="143"/>
      <c r="G658" s="143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</row>
    <row r="659" spans="1:19" ht="19.5">
      <c r="A659" s="136"/>
      <c r="B659" s="143"/>
      <c r="C659" s="143"/>
      <c r="D659" s="143"/>
      <c r="E659" s="143"/>
      <c r="F659" s="143"/>
      <c r="G659" s="143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</row>
    <row r="660" spans="1:19" ht="19.5">
      <c r="A660" s="136"/>
      <c r="B660" s="143"/>
      <c r="C660" s="143"/>
      <c r="D660" s="143"/>
      <c r="E660" s="143"/>
      <c r="F660" s="143"/>
      <c r="G660" s="143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</row>
    <row r="661" spans="1:19" ht="19.5">
      <c r="A661" s="136"/>
      <c r="B661" s="143"/>
      <c r="C661" s="143"/>
      <c r="D661" s="143"/>
      <c r="E661" s="143"/>
      <c r="F661" s="143"/>
      <c r="G661" s="143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</row>
    <row r="662" spans="1:19" ht="19.5">
      <c r="A662" s="136"/>
      <c r="B662" s="143"/>
      <c r="C662" s="143"/>
      <c r="D662" s="143"/>
      <c r="E662" s="143"/>
      <c r="F662" s="143"/>
      <c r="G662" s="143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</row>
    <row r="663" spans="1:19" ht="19.5">
      <c r="A663" s="136"/>
      <c r="B663" s="143"/>
      <c r="C663" s="143"/>
      <c r="D663" s="143"/>
      <c r="E663" s="143"/>
      <c r="F663" s="143"/>
      <c r="G663" s="143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</row>
    <row r="664" spans="1:19" ht="19.5">
      <c r="A664" s="136"/>
      <c r="B664" s="143"/>
      <c r="C664" s="143"/>
      <c r="D664" s="143"/>
      <c r="E664" s="143"/>
      <c r="F664" s="143"/>
      <c r="G664" s="143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</row>
    <row r="665" spans="1:19" ht="19.5">
      <c r="A665" s="136"/>
      <c r="B665" s="143"/>
      <c r="C665" s="143"/>
      <c r="D665" s="143"/>
      <c r="E665" s="143"/>
      <c r="F665" s="143"/>
      <c r="G665" s="143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</row>
    <row r="666" spans="1:19" ht="19.5">
      <c r="A666" s="136"/>
      <c r="B666" s="143"/>
      <c r="C666" s="143"/>
      <c r="D666" s="143"/>
      <c r="E666" s="143"/>
      <c r="F666" s="143"/>
      <c r="G666" s="143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</row>
    <row r="667" spans="1:19" ht="19.5">
      <c r="A667" s="136"/>
      <c r="B667" s="143"/>
      <c r="C667" s="143"/>
      <c r="D667" s="143"/>
      <c r="E667" s="143"/>
      <c r="F667" s="143"/>
      <c r="G667" s="143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</row>
    <row r="668" spans="1:19" ht="19.5">
      <c r="A668" s="136"/>
      <c r="B668" s="143"/>
      <c r="C668" s="143"/>
      <c r="D668" s="143"/>
      <c r="E668" s="143"/>
      <c r="F668" s="143"/>
      <c r="G668" s="143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</row>
    <row r="669" spans="1:19" ht="19.5">
      <c r="A669" s="136"/>
      <c r="B669" s="143"/>
      <c r="C669" s="143"/>
      <c r="D669" s="143"/>
      <c r="E669" s="143"/>
      <c r="F669" s="143"/>
      <c r="G669" s="143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</row>
    <row r="670" spans="1:19" ht="19.5">
      <c r="A670" s="136"/>
      <c r="B670" s="143"/>
      <c r="C670" s="143"/>
      <c r="D670" s="143"/>
      <c r="E670" s="143"/>
      <c r="F670" s="143"/>
      <c r="G670" s="143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</row>
    <row r="671" spans="1:19" ht="19.5">
      <c r="A671" s="136"/>
      <c r="B671" s="143"/>
      <c r="C671" s="143"/>
      <c r="D671" s="143"/>
      <c r="E671" s="143"/>
      <c r="F671" s="143"/>
      <c r="G671" s="143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</row>
    <row r="672" spans="1:19" ht="19.5">
      <c r="A672" s="136"/>
      <c r="B672" s="143"/>
      <c r="C672" s="143"/>
      <c r="D672" s="143"/>
      <c r="E672" s="143"/>
      <c r="F672" s="143"/>
      <c r="G672" s="143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</row>
    <row r="673" spans="1:19" ht="19.5">
      <c r="A673" s="136"/>
      <c r="B673" s="143"/>
      <c r="C673" s="143"/>
      <c r="D673" s="143"/>
      <c r="E673" s="143"/>
      <c r="F673" s="143"/>
      <c r="G673" s="143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</row>
    <row r="674" spans="1:19" ht="19.5">
      <c r="A674" s="136"/>
      <c r="B674" s="143"/>
      <c r="C674" s="143"/>
      <c r="D674" s="143"/>
      <c r="E674" s="143"/>
      <c r="F674" s="143"/>
      <c r="G674" s="143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</row>
    <row r="675" spans="1:19" ht="19.5">
      <c r="A675" s="136"/>
      <c r="B675" s="143"/>
      <c r="C675" s="143"/>
      <c r="D675" s="143"/>
      <c r="E675" s="143"/>
      <c r="F675" s="143"/>
      <c r="G675" s="143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</row>
    <row r="676" spans="1:19" ht="19.5">
      <c r="A676" s="136"/>
      <c r="B676" s="143"/>
      <c r="C676" s="143"/>
      <c r="D676" s="143"/>
      <c r="E676" s="143"/>
      <c r="F676" s="143"/>
      <c r="G676" s="143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</row>
    <row r="677" spans="1:19" ht="19.5">
      <c r="A677" s="136"/>
      <c r="B677" s="143"/>
      <c r="C677" s="143"/>
      <c r="D677" s="143"/>
      <c r="E677" s="143"/>
      <c r="F677" s="143"/>
      <c r="G677" s="143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</row>
    <row r="678" spans="1:19" ht="19.5">
      <c r="A678" s="136"/>
      <c r="B678" s="143"/>
      <c r="C678" s="143"/>
      <c r="D678" s="143"/>
      <c r="E678" s="143"/>
      <c r="F678" s="143"/>
      <c r="G678" s="143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</row>
    <row r="679" spans="1:19" ht="19.5">
      <c r="A679" s="136"/>
      <c r="B679" s="143"/>
      <c r="C679" s="143"/>
      <c r="D679" s="143"/>
      <c r="E679" s="143"/>
      <c r="F679" s="143"/>
      <c r="G679" s="143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</row>
    <row r="680" spans="1:19" ht="19.5">
      <c r="A680" s="136"/>
      <c r="B680" s="143"/>
      <c r="C680" s="143"/>
      <c r="D680" s="143"/>
      <c r="E680" s="143"/>
      <c r="F680" s="143"/>
      <c r="G680" s="143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</row>
    <row r="681" spans="1:19" ht="19.5">
      <c r="A681" s="136"/>
      <c r="B681" s="143"/>
      <c r="C681" s="143"/>
      <c r="D681" s="143"/>
      <c r="E681" s="143"/>
      <c r="F681" s="143"/>
      <c r="G681" s="143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</row>
    <row r="682" spans="1:19" ht="19.5">
      <c r="A682" s="136"/>
      <c r="B682" s="143"/>
      <c r="C682" s="143"/>
      <c r="D682" s="143"/>
      <c r="E682" s="143"/>
      <c r="F682" s="143"/>
      <c r="G682" s="143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</row>
    <row r="683" spans="1:19" ht="19.5">
      <c r="A683" s="136"/>
      <c r="B683" s="143"/>
      <c r="C683" s="143"/>
      <c r="D683" s="143"/>
      <c r="E683" s="143"/>
      <c r="F683" s="143"/>
      <c r="G683" s="143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</row>
    <row r="684" spans="1:19" ht="19.5">
      <c r="A684" s="136"/>
      <c r="B684" s="143"/>
      <c r="C684" s="143"/>
      <c r="D684" s="143"/>
      <c r="E684" s="143"/>
      <c r="F684" s="143"/>
      <c r="G684" s="143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</row>
    <row r="685" spans="1:19" ht="19.5">
      <c r="A685" s="136"/>
      <c r="B685" s="143"/>
      <c r="C685" s="143"/>
      <c r="D685" s="143"/>
      <c r="E685" s="143"/>
      <c r="F685" s="143"/>
      <c r="G685" s="143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</row>
    <row r="686" spans="1:19" ht="19.5">
      <c r="A686" s="136"/>
      <c r="B686" s="143"/>
      <c r="C686" s="143"/>
      <c r="D686" s="143"/>
      <c r="E686" s="143"/>
      <c r="F686" s="143"/>
      <c r="G686" s="143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</row>
    <row r="687" spans="1:19" ht="19.5">
      <c r="A687" s="136"/>
      <c r="B687" s="143"/>
      <c r="C687" s="143"/>
      <c r="D687" s="143"/>
      <c r="E687" s="143"/>
      <c r="F687" s="143"/>
      <c r="G687" s="143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</row>
    <row r="688" spans="1:19" ht="19.5">
      <c r="A688" s="136"/>
      <c r="B688" s="143"/>
      <c r="C688" s="143"/>
      <c r="D688" s="143"/>
      <c r="E688" s="143"/>
      <c r="F688" s="143"/>
      <c r="G688" s="143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</row>
    <row r="689" spans="1:19" ht="19.5">
      <c r="A689" s="136"/>
      <c r="B689" s="143"/>
      <c r="C689" s="143"/>
      <c r="D689" s="143"/>
      <c r="E689" s="143"/>
      <c r="F689" s="143"/>
      <c r="G689" s="143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</row>
    <row r="690" spans="1:19" ht="19.5">
      <c r="A690" s="136"/>
      <c r="B690" s="143"/>
      <c r="C690" s="143"/>
      <c r="D690" s="143"/>
      <c r="E690" s="143"/>
      <c r="F690" s="143"/>
      <c r="G690" s="143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</row>
    <row r="691" spans="1:19" ht="19.5">
      <c r="A691" s="136"/>
      <c r="B691" s="143"/>
      <c r="C691" s="143"/>
      <c r="D691" s="143"/>
      <c r="E691" s="143"/>
      <c r="F691" s="143"/>
      <c r="G691" s="143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</row>
    <row r="692" spans="1:19" ht="19.5">
      <c r="A692" s="136"/>
      <c r="B692" s="143"/>
      <c r="C692" s="143"/>
      <c r="D692" s="143"/>
      <c r="E692" s="143"/>
      <c r="F692" s="143"/>
      <c r="G692" s="143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</row>
    <row r="693" spans="1:19" ht="19.5">
      <c r="A693" s="136"/>
      <c r="B693" s="143"/>
      <c r="C693" s="143"/>
      <c r="D693" s="143"/>
      <c r="E693" s="143"/>
      <c r="F693" s="143"/>
      <c r="G693" s="143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</row>
    <row r="694" spans="1:19" ht="19.5">
      <c r="A694" s="136"/>
      <c r="B694" s="143"/>
      <c r="C694" s="143"/>
      <c r="D694" s="143"/>
      <c r="E694" s="143"/>
      <c r="F694" s="143"/>
      <c r="G694" s="143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</row>
    <row r="695" spans="1:19" ht="19.5">
      <c r="A695" s="136"/>
      <c r="B695" s="143"/>
      <c r="C695" s="143"/>
      <c r="D695" s="143"/>
      <c r="E695" s="143"/>
      <c r="F695" s="143"/>
      <c r="G695" s="143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</row>
    <row r="696" spans="1:19" ht="19.5">
      <c r="A696" s="136"/>
      <c r="B696" s="143"/>
      <c r="C696" s="143"/>
      <c r="D696" s="143"/>
      <c r="E696" s="143"/>
      <c r="F696" s="143"/>
      <c r="G696" s="143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</row>
    <row r="697" spans="1:19" ht="19.5">
      <c r="A697" s="136"/>
      <c r="B697" s="143"/>
      <c r="C697" s="143"/>
      <c r="D697" s="143"/>
      <c r="E697" s="143"/>
      <c r="F697" s="143"/>
      <c r="G697" s="143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</row>
    <row r="698" spans="1:19" ht="19.5">
      <c r="A698" s="136"/>
      <c r="B698" s="143"/>
      <c r="C698" s="143"/>
      <c r="D698" s="143"/>
      <c r="E698" s="143"/>
      <c r="F698" s="143"/>
      <c r="G698" s="143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</row>
    <row r="699" spans="1:19" ht="19.5">
      <c r="A699" s="136"/>
      <c r="B699" s="143"/>
      <c r="C699" s="143"/>
      <c r="D699" s="143"/>
      <c r="E699" s="143"/>
      <c r="F699" s="143"/>
      <c r="G699" s="143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</row>
    <row r="700" spans="1:19" ht="19.5">
      <c r="A700" s="136"/>
      <c r="B700" s="143"/>
      <c r="C700" s="143"/>
      <c r="D700" s="143"/>
      <c r="E700" s="143"/>
      <c r="F700" s="143"/>
      <c r="G700" s="143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</row>
    <row r="701" spans="1:19" ht="19.5">
      <c r="A701" s="136"/>
      <c r="B701" s="143"/>
      <c r="C701" s="143"/>
      <c r="D701" s="143"/>
      <c r="E701" s="143"/>
      <c r="F701" s="143"/>
      <c r="G701" s="143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</row>
    <row r="702" spans="1:19" ht="19.5">
      <c r="A702" s="136"/>
      <c r="B702" s="143"/>
      <c r="C702" s="143"/>
      <c r="D702" s="143"/>
      <c r="E702" s="143"/>
      <c r="F702" s="143"/>
      <c r="G702" s="143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</row>
    <row r="703" spans="1:19" ht="19.5">
      <c r="A703" s="136"/>
      <c r="B703" s="143"/>
      <c r="C703" s="143"/>
      <c r="D703" s="143"/>
      <c r="E703" s="143"/>
      <c r="F703" s="143"/>
      <c r="G703" s="143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</row>
    <row r="704" spans="1:19" ht="19.5">
      <c r="A704" s="136"/>
      <c r="B704" s="143"/>
      <c r="C704" s="143"/>
      <c r="D704" s="143"/>
      <c r="E704" s="143"/>
      <c r="F704" s="143"/>
      <c r="G704" s="143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</row>
    <row r="705" spans="1:19" ht="19.5">
      <c r="A705" s="136"/>
      <c r="B705" s="143"/>
      <c r="C705" s="143"/>
      <c r="D705" s="143"/>
      <c r="E705" s="143"/>
      <c r="F705" s="143"/>
      <c r="G705" s="143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</row>
    <row r="706" spans="1:19" ht="19.5">
      <c r="A706" s="136"/>
      <c r="B706" s="143"/>
      <c r="C706" s="143"/>
      <c r="D706" s="143"/>
      <c r="E706" s="143"/>
      <c r="F706" s="143"/>
      <c r="G706" s="143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</row>
    <row r="707" spans="1:19" ht="19.5">
      <c r="A707" s="136"/>
      <c r="B707" s="143"/>
      <c r="C707" s="143"/>
      <c r="D707" s="143"/>
      <c r="E707" s="143"/>
      <c r="F707" s="143"/>
      <c r="G707" s="143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</row>
    <row r="708" spans="1:19" ht="19.5">
      <c r="A708" s="136"/>
      <c r="B708" s="143"/>
      <c r="C708" s="143"/>
      <c r="D708" s="143"/>
      <c r="E708" s="143"/>
      <c r="F708" s="143"/>
      <c r="G708" s="143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</row>
    <row r="709" spans="1:19" ht="19.5">
      <c r="A709" s="136"/>
      <c r="B709" s="143"/>
      <c r="C709" s="143"/>
      <c r="D709" s="143"/>
      <c r="E709" s="143"/>
      <c r="F709" s="143"/>
      <c r="G709" s="143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</row>
    <row r="710" spans="1:19" ht="19.5">
      <c r="A710" s="136"/>
      <c r="B710" s="143"/>
      <c r="C710" s="143"/>
      <c r="D710" s="143"/>
      <c r="E710" s="143"/>
      <c r="F710" s="143"/>
      <c r="G710" s="143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</row>
    <row r="711" spans="1:19" ht="19.5">
      <c r="A711" s="136"/>
      <c r="B711" s="143"/>
      <c r="C711" s="143"/>
      <c r="D711" s="143"/>
      <c r="E711" s="143"/>
      <c r="F711" s="143"/>
      <c r="G711" s="143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</row>
    <row r="712" spans="1:19" ht="19.5">
      <c r="A712" s="136"/>
      <c r="B712" s="143"/>
      <c r="C712" s="143"/>
      <c r="D712" s="143"/>
      <c r="E712" s="143"/>
      <c r="F712" s="143"/>
      <c r="G712" s="143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</row>
    <row r="713" spans="1:19" ht="19.5">
      <c r="A713" s="136"/>
      <c r="B713" s="143"/>
      <c r="C713" s="143"/>
      <c r="D713" s="143"/>
      <c r="E713" s="143"/>
      <c r="F713" s="143"/>
      <c r="G713" s="143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</row>
    <row r="714" spans="1:19" ht="19.5">
      <c r="A714" s="136"/>
      <c r="B714" s="143"/>
      <c r="C714" s="143"/>
      <c r="D714" s="143"/>
      <c r="E714" s="143"/>
      <c r="F714" s="143"/>
      <c r="G714" s="143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</row>
    <row r="715" spans="1:19" ht="19.5">
      <c r="A715" s="136"/>
      <c r="B715" s="143"/>
      <c r="C715" s="143"/>
      <c r="D715" s="143"/>
      <c r="E715" s="143"/>
      <c r="F715" s="143"/>
      <c r="G715" s="143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</row>
    <row r="716" spans="1:19" ht="19.5">
      <c r="A716" s="136"/>
      <c r="B716" s="143"/>
      <c r="C716" s="143"/>
      <c r="D716" s="143"/>
      <c r="E716" s="143"/>
      <c r="F716" s="143"/>
      <c r="G716" s="143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</row>
    <row r="717" spans="1:19" ht="19.5">
      <c r="A717" s="136"/>
      <c r="B717" s="143"/>
      <c r="C717" s="143"/>
      <c r="D717" s="143"/>
      <c r="E717" s="143"/>
      <c r="F717" s="143"/>
      <c r="G717" s="143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</row>
    <row r="718" spans="1:19" ht="19.5">
      <c r="A718" s="136"/>
      <c r="B718" s="143"/>
      <c r="C718" s="143"/>
      <c r="D718" s="143"/>
      <c r="E718" s="143"/>
      <c r="F718" s="143"/>
      <c r="G718" s="143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</row>
    <row r="719" spans="1:19" ht="19.5">
      <c r="A719" s="136"/>
      <c r="B719" s="143"/>
      <c r="C719" s="143"/>
      <c r="D719" s="143"/>
      <c r="E719" s="143"/>
      <c r="F719" s="143"/>
      <c r="G719" s="143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</row>
    <row r="720" spans="1:19" ht="19.5">
      <c r="A720" s="136"/>
      <c r="B720" s="143"/>
      <c r="C720" s="143"/>
      <c r="D720" s="143"/>
      <c r="E720" s="143"/>
      <c r="F720" s="143"/>
      <c r="G720" s="143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</row>
    <row r="721" spans="1:19" ht="19.5">
      <c r="A721" s="136"/>
      <c r="B721" s="143"/>
      <c r="C721" s="143"/>
      <c r="D721" s="143"/>
      <c r="E721" s="143"/>
      <c r="F721" s="143"/>
      <c r="G721" s="143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</row>
    <row r="722" spans="1:19" ht="19.5">
      <c r="A722" s="136"/>
      <c r="B722" s="143"/>
      <c r="C722" s="143"/>
      <c r="D722" s="143"/>
      <c r="E722" s="143"/>
      <c r="F722" s="143"/>
      <c r="G722" s="143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</row>
    <row r="723" spans="1:19" ht="19.5">
      <c r="A723" s="136"/>
      <c r="B723" s="143"/>
      <c r="C723" s="143"/>
      <c r="D723" s="143"/>
      <c r="E723" s="143"/>
      <c r="F723" s="143"/>
      <c r="G723" s="143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</row>
    <row r="724" spans="1:19" ht="19.5">
      <c r="A724" s="136"/>
      <c r="B724" s="143"/>
      <c r="C724" s="143"/>
      <c r="D724" s="143"/>
      <c r="E724" s="143"/>
      <c r="F724" s="143"/>
      <c r="G724" s="143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</row>
    <row r="725" spans="1:19" ht="19.5">
      <c r="A725" s="136"/>
      <c r="B725" s="143"/>
      <c r="C725" s="143"/>
      <c r="D725" s="143"/>
      <c r="E725" s="143"/>
      <c r="F725" s="143"/>
      <c r="G725" s="143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</row>
    <row r="726" spans="1:19" ht="19.5">
      <c r="A726" s="136"/>
      <c r="B726" s="143"/>
      <c r="C726" s="143"/>
      <c r="D726" s="143"/>
      <c r="E726" s="143"/>
      <c r="F726" s="143"/>
      <c r="G726" s="143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</row>
    <row r="727" spans="1:19" ht="19.5">
      <c r="A727" s="136"/>
      <c r="B727" s="143"/>
      <c r="C727" s="143"/>
      <c r="D727" s="143"/>
      <c r="E727" s="143"/>
      <c r="F727" s="143"/>
      <c r="G727" s="143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</row>
    <row r="728" spans="1:19" ht="19.5">
      <c r="A728" s="136"/>
      <c r="B728" s="143"/>
      <c r="C728" s="143"/>
      <c r="D728" s="143"/>
      <c r="E728" s="143"/>
      <c r="F728" s="143"/>
      <c r="G728" s="143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</row>
    <row r="729" spans="1:19" ht="19.5">
      <c r="A729" s="136"/>
      <c r="B729" s="143"/>
      <c r="C729" s="143"/>
      <c r="D729" s="143"/>
      <c r="E729" s="143"/>
      <c r="F729" s="143"/>
      <c r="G729" s="143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</row>
    <row r="730" spans="1:19" ht="19.5">
      <c r="A730" s="136"/>
      <c r="B730" s="143"/>
      <c r="C730" s="143"/>
      <c r="D730" s="143"/>
      <c r="E730" s="143"/>
      <c r="F730" s="143"/>
      <c r="G730" s="143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</row>
    <row r="731" spans="1:19" ht="19.5">
      <c r="A731" s="136"/>
      <c r="B731" s="143"/>
      <c r="C731" s="143"/>
      <c r="D731" s="143"/>
      <c r="E731" s="143"/>
      <c r="F731" s="143"/>
      <c r="G731" s="143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</row>
    <row r="732" spans="1:19" ht="19.5">
      <c r="A732" s="136"/>
      <c r="B732" s="143"/>
      <c r="C732" s="143"/>
      <c r="D732" s="143"/>
      <c r="E732" s="143"/>
      <c r="F732" s="143"/>
      <c r="G732" s="143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</row>
    <row r="733" spans="1:19" ht="19.5">
      <c r="A733" s="136"/>
      <c r="B733" s="143"/>
      <c r="C733" s="143"/>
      <c r="D733" s="143"/>
      <c r="E733" s="143"/>
      <c r="F733" s="143"/>
      <c r="G733" s="143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</row>
    <row r="734" spans="1:19" ht="19.5">
      <c r="A734" s="136"/>
      <c r="B734" s="143"/>
      <c r="C734" s="143"/>
      <c r="D734" s="143"/>
      <c r="E734" s="143"/>
      <c r="F734" s="143"/>
      <c r="G734" s="143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</row>
    <row r="735" spans="1:19" ht="19.5">
      <c r="A735" s="136"/>
      <c r="B735" s="143"/>
      <c r="C735" s="143"/>
      <c r="D735" s="143"/>
      <c r="E735" s="143"/>
      <c r="F735" s="143"/>
      <c r="G735" s="143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</row>
    <row r="736" spans="1:19" ht="19.5">
      <c r="A736" s="136"/>
      <c r="B736" s="143"/>
      <c r="C736" s="143"/>
      <c r="D736" s="143"/>
      <c r="E736" s="143"/>
      <c r="F736" s="143"/>
      <c r="G736" s="143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</row>
    <row r="737" spans="1:19" ht="19.5">
      <c r="A737" s="136"/>
      <c r="B737" s="143"/>
      <c r="C737" s="143"/>
      <c r="D737" s="143"/>
      <c r="E737" s="143"/>
      <c r="F737" s="143"/>
      <c r="G737" s="143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</row>
    <row r="738" spans="1:19" ht="19.5">
      <c r="A738" s="136"/>
      <c r="B738" s="143"/>
      <c r="C738" s="143"/>
      <c r="D738" s="143"/>
      <c r="E738" s="143"/>
      <c r="F738" s="143"/>
      <c r="G738" s="143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</row>
    <row r="739" spans="1:19" ht="19.5">
      <c r="A739" s="136"/>
      <c r="B739" s="143"/>
      <c r="C739" s="143"/>
      <c r="D739" s="143"/>
      <c r="E739" s="143"/>
      <c r="F739" s="143"/>
      <c r="G739" s="143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</row>
    <row r="740" spans="1:19" ht="19.5">
      <c r="A740" s="136"/>
      <c r="B740" s="143"/>
      <c r="C740" s="143"/>
      <c r="D740" s="143"/>
      <c r="E740" s="143"/>
      <c r="F740" s="143"/>
      <c r="G740" s="143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</row>
    <row r="741" spans="1:19" ht="19.5">
      <c r="A741" s="136"/>
      <c r="B741" s="143"/>
      <c r="C741" s="143"/>
      <c r="D741" s="143"/>
      <c r="E741" s="143"/>
      <c r="F741" s="143"/>
      <c r="G741" s="143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</row>
    <row r="742" spans="1:19" ht="19.5">
      <c r="A742" s="136"/>
      <c r="B742" s="143"/>
      <c r="C742" s="143"/>
      <c r="D742" s="143"/>
      <c r="E742" s="143"/>
      <c r="F742" s="143"/>
      <c r="G742" s="143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</row>
    <row r="743" spans="1:19" ht="19.5">
      <c r="A743" s="136"/>
      <c r="B743" s="143"/>
      <c r="C743" s="143"/>
      <c r="D743" s="143"/>
      <c r="E743" s="143"/>
      <c r="F743" s="143"/>
      <c r="G743" s="143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</row>
    <row r="744" spans="1:19" ht="19.5">
      <c r="A744" s="136"/>
      <c r="B744" s="143"/>
      <c r="C744" s="143"/>
      <c r="D744" s="143"/>
      <c r="E744" s="143"/>
      <c r="F744" s="143"/>
      <c r="G744" s="143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</row>
    <row r="745" spans="1:19" ht="19.5">
      <c r="A745" s="136"/>
      <c r="B745" s="143"/>
      <c r="C745" s="143"/>
      <c r="D745" s="143"/>
      <c r="E745" s="143"/>
      <c r="F745" s="143"/>
      <c r="G745" s="143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</row>
    <row r="746" spans="1:19" ht="19.5">
      <c r="A746" s="136"/>
      <c r="B746" s="143"/>
      <c r="C746" s="143"/>
      <c r="D746" s="143"/>
      <c r="E746" s="143"/>
      <c r="F746" s="143"/>
      <c r="G746" s="143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</row>
    <row r="747" spans="1:19" ht="19.5">
      <c r="A747" s="136"/>
      <c r="B747" s="143"/>
      <c r="C747" s="143"/>
      <c r="D747" s="143"/>
      <c r="E747" s="143"/>
      <c r="F747" s="143"/>
      <c r="G747" s="143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</row>
    <row r="748" spans="1:19" ht="19.5">
      <c r="A748" s="136"/>
      <c r="B748" s="143"/>
      <c r="C748" s="143"/>
      <c r="D748" s="143"/>
      <c r="E748" s="143"/>
      <c r="F748" s="143"/>
      <c r="G748" s="143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</row>
    <row r="749" spans="1:19" ht="19.5">
      <c r="A749" s="136"/>
      <c r="B749" s="143"/>
      <c r="C749" s="143"/>
      <c r="D749" s="143"/>
      <c r="E749" s="143"/>
      <c r="F749" s="143"/>
      <c r="G749" s="143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</row>
    <row r="750" spans="1:19" ht="19.5">
      <c r="A750" s="136"/>
      <c r="B750" s="143"/>
      <c r="C750" s="143"/>
      <c r="D750" s="143"/>
      <c r="E750" s="143"/>
      <c r="F750" s="143"/>
      <c r="G750" s="143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</row>
    <row r="751" spans="1:19" ht="19.5">
      <c r="A751" s="136"/>
      <c r="B751" s="143"/>
      <c r="C751" s="143"/>
      <c r="D751" s="143"/>
      <c r="E751" s="143"/>
      <c r="F751" s="143"/>
      <c r="G751" s="143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</row>
    <row r="752" spans="1:19" ht="19.5">
      <c r="A752" s="136"/>
      <c r="B752" s="143"/>
      <c r="C752" s="143"/>
      <c r="D752" s="143"/>
      <c r="E752" s="143"/>
      <c r="F752" s="143"/>
      <c r="G752" s="143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</row>
    <row r="753" spans="1:19" ht="19.5">
      <c r="A753" s="136"/>
      <c r="B753" s="143"/>
      <c r="C753" s="143"/>
      <c r="D753" s="143"/>
      <c r="E753" s="143"/>
      <c r="F753" s="143"/>
      <c r="G753" s="143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</row>
    <row r="754" spans="1:19" ht="19.5">
      <c r="A754" s="136"/>
      <c r="B754" s="143"/>
      <c r="C754" s="143"/>
      <c r="D754" s="143"/>
      <c r="E754" s="143"/>
      <c r="F754" s="143"/>
      <c r="G754" s="143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</row>
    <row r="755" spans="1:19" ht="19.5">
      <c r="A755" s="136"/>
      <c r="B755" s="143"/>
      <c r="C755" s="143"/>
      <c r="D755" s="143"/>
      <c r="E755" s="143"/>
      <c r="F755" s="143"/>
      <c r="G755" s="143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</row>
    <row r="756" spans="1:19" ht="19.5">
      <c r="A756" s="136"/>
      <c r="B756" s="143"/>
      <c r="C756" s="143"/>
      <c r="D756" s="143"/>
      <c r="E756" s="143"/>
      <c r="F756" s="143"/>
      <c r="G756" s="143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</row>
    <row r="757" spans="1:19" ht="19.5">
      <c r="A757" s="136"/>
      <c r="B757" s="143"/>
      <c r="C757" s="143"/>
      <c r="D757" s="143"/>
      <c r="E757" s="143"/>
      <c r="F757" s="143"/>
      <c r="G757" s="143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</row>
    <row r="758" spans="1:19" ht="19.5">
      <c r="A758" s="136"/>
      <c r="B758" s="143"/>
      <c r="C758" s="143"/>
      <c r="D758" s="143"/>
      <c r="E758" s="143"/>
      <c r="F758" s="143"/>
      <c r="G758" s="143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</row>
    <row r="759" spans="1:19" ht="19.5">
      <c r="A759" s="136"/>
      <c r="B759" s="143"/>
      <c r="C759" s="143"/>
      <c r="D759" s="143"/>
      <c r="E759" s="143"/>
      <c r="F759" s="143"/>
      <c r="G759" s="143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</row>
    <row r="760" spans="1:19" ht="19.5">
      <c r="A760" s="136"/>
      <c r="B760" s="143"/>
      <c r="C760" s="143"/>
      <c r="D760" s="143"/>
      <c r="E760" s="143"/>
      <c r="F760" s="143"/>
      <c r="G760" s="143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</row>
    <row r="761" spans="1:19" ht="19.5">
      <c r="A761" s="136"/>
      <c r="B761" s="143"/>
      <c r="C761" s="143"/>
      <c r="D761" s="143"/>
      <c r="E761" s="143"/>
      <c r="F761" s="143"/>
      <c r="G761" s="143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</row>
    <row r="762" spans="1:19" ht="19.5">
      <c r="A762" s="136"/>
      <c r="B762" s="143"/>
      <c r="C762" s="143"/>
      <c r="D762" s="143"/>
      <c r="E762" s="143"/>
      <c r="F762" s="143"/>
      <c r="G762" s="143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</row>
    <row r="763" spans="1:19" ht="19.5">
      <c r="A763" s="136"/>
      <c r="B763" s="143"/>
      <c r="C763" s="143"/>
      <c r="D763" s="143"/>
      <c r="E763" s="143"/>
      <c r="F763" s="143"/>
      <c r="G763" s="143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</row>
    <row r="764" spans="1:19" ht="19.5">
      <c r="A764" s="136"/>
      <c r="B764" s="143"/>
      <c r="C764" s="143"/>
      <c r="D764" s="143"/>
      <c r="E764" s="143"/>
      <c r="F764" s="143"/>
      <c r="G764" s="143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</row>
    <row r="765" spans="1:19" ht="19.5">
      <c r="A765" s="136"/>
      <c r="B765" s="143"/>
      <c r="C765" s="143"/>
      <c r="D765" s="143"/>
      <c r="E765" s="143"/>
      <c r="F765" s="143"/>
      <c r="G765" s="143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</row>
    <row r="766" spans="1:19" ht="19.5">
      <c r="A766" s="136"/>
      <c r="B766" s="143"/>
      <c r="C766" s="143"/>
      <c r="D766" s="143"/>
      <c r="E766" s="143"/>
      <c r="F766" s="143"/>
      <c r="G766" s="143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</row>
    <row r="767" spans="1:19" ht="19.5">
      <c r="A767" s="136"/>
      <c r="B767" s="143"/>
      <c r="C767" s="143"/>
      <c r="D767" s="143"/>
      <c r="E767" s="143"/>
      <c r="F767" s="143"/>
      <c r="G767" s="143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</row>
    <row r="768" spans="1:19" ht="19.5">
      <c r="A768" s="136"/>
      <c r="B768" s="143"/>
      <c r="C768" s="143"/>
      <c r="D768" s="143"/>
      <c r="E768" s="143"/>
      <c r="F768" s="143"/>
      <c r="G768" s="143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</row>
    <row r="769" spans="1:19" ht="19.5">
      <c r="A769" s="136"/>
      <c r="B769" s="143"/>
      <c r="C769" s="143"/>
      <c r="D769" s="143"/>
      <c r="E769" s="143"/>
      <c r="F769" s="143"/>
      <c r="G769" s="143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</row>
    <row r="770" spans="1:19" ht="19.5">
      <c r="A770" s="136"/>
      <c r="B770" s="143"/>
      <c r="C770" s="143"/>
      <c r="D770" s="143"/>
      <c r="E770" s="143"/>
      <c r="F770" s="143"/>
      <c r="G770" s="143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</row>
    <row r="771" spans="1:19" ht="19.5">
      <c r="A771" s="136"/>
      <c r="B771" s="143"/>
      <c r="C771" s="143"/>
      <c r="D771" s="143"/>
      <c r="E771" s="143"/>
      <c r="F771" s="143"/>
      <c r="G771" s="143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</row>
    <row r="772" spans="1:19" ht="19.5">
      <c r="A772" s="136"/>
      <c r="B772" s="143"/>
      <c r="C772" s="143"/>
      <c r="D772" s="143"/>
      <c r="E772" s="143"/>
      <c r="F772" s="143"/>
      <c r="G772" s="143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</row>
    <row r="773" spans="1:19" ht="19.5">
      <c r="A773" s="136"/>
      <c r="B773" s="143"/>
      <c r="C773" s="143"/>
      <c r="D773" s="143"/>
      <c r="E773" s="143"/>
      <c r="F773" s="143"/>
      <c r="G773" s="143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</row>
    <row r="774" spans="1:19" ht="19.5">
      <c r="A774" s="136"/>
      <c r="B774" s="143"/>
      <c r="C774" s="143"/>
      <c r="D774" s="143"/>
      <c r="E774" s="143"/>
      <c r="F774" s="143"/>
      <c r="G774" s="143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</row>
    <row r="775" spans="1:19" ht="19.5">
      <c r="A775" s="136"/>
      <c r="B775" s="143"/>
      <c r="C775" s="143"/>
      <c r="D775" s="143"/>
      <c r="E775" s="143"/>
      <c r="F775" s="143"/>
      <c r="G775" s="143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</row>
    <row r="776" spans="1:19" ht="19.5">
      <c r="A776" s="136"/>
      <c r="B776" s="143"/>
      <c r="C776" s="143"/>
      <c r="D776" s="143"/>
      <c r="E776" s="143"/>
      <c r="F776" s="143"/>
      <c r="G776" s="143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</row>
    <row r="777" spans="1:19" ht="19.5">
      <c r="A777" s="136"/>
      <c r="B777" s="143"/>
      <c r="C777" s="143"/>
      <c r="D777" s="143"/>
      <c r="E777" s="143"/>
      <c r="F777" s="143"/>
      <c r="G777" s="143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</row>
    <row r="778" spans="1:19" ht="19.5">
      <c r="A778" s="136"/>
      <c r="B778" s="143"/>
      <c r="C778" s="143"/>
      <c r="D778" s="143"/>
      <c r="E778" s="143"/>
      <c r="F778" s="143"/>
      <c r="G778" s="143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</row>
    <row r="779" spans="1:19" ht="19.5">
      <c r="A779" s="136"/>
      <c r="B779" s="143"/>
      <c r="C779" s="143"/>
      <c r="D779" s="143"/>
      <c r="E779" s="143"/>
      <c r="F779" s="143"/>
      <c r="G779" s="143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</row>
    <row r="780" spans="1:19" ht="19.5">
      <c r="A780" s="136"/>
      <c r="B780" s="143"/>
      <c r="C780" s="143"/>
      <c r="D780" s="143"/>
      <c r="E780" s="143"/>
      <c r="F780" s="143"/>
      <c r="G780" s="143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</row>
    <row r="781" spans="1:19" ht="19.5">
      <c r="A781" s="136"/>
      <c r="B781" s="143"/>
      <c r="C781" s="143"/>
      <c r="D781" s="143"/>
      <c r="E781" s="143"/>
      <c r="F781" s="143"/>
      <c r="G781" s="143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</row>
    <row r="782" spans="1:19" ht="19.5">
      <c r="A782" s="136"/>
      <c r="B782" s="143"/>
      <c r="C782" s="143"/>
      <c r="D782" s="143"/>
      <c r="E782" s="143"/>
      <c r="F782" s="143"/>
      <c r="G782" s="143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</row>
    <row r="783" spans="1:19" ht="19.5">
      <c r="A783" s="136"/>
      <c r="B783" s="143"/>
      <c r="C783" s="143"/>
      <c r="D783" s="143"/>
      <c r="E783" s="143"/>
      <c r="F783" s="143"/>
      <c r="G783" s="143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</row>
    <row r="784" spans="1:19" ht="19.5">
      <c r="A784" s="136"/>
      <c r="B784" s="143"/>
      <c r="C784" s="143"/>
      <c r="D784" s="143"/>
      <c r="E784" s="143"/>
      <c r="F784" s="143"/>
      <c r="G784" s="143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</row>
    <row r="785" spans="1:19" ht="19.5">
      <c r="A785" s="136"/>
      <c r="B785" s="143"/>
      <c r="C785" s="143"/>
      <c r="D785" s="143"/>
      <c r="E785" s="143"/>
      <c r="F785" s="143"/>
      <c r="G785" s="143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</row>
    <row r="786" spans="1:19" ht="19.5">
      <c r="A786" s="136"/>
      <c r="B786" s="143"/>
      <c r="C786" s="143"/>
      <c r="D786" s="143"/>
      <c r="E786" s="143"/>
      <c r="F786" s="143"/>
      <c r="G786" s="143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</row>
    <row r="787" spans="1:19" ht="19.5">
      <c r="A787" s="136"/>
      <c r="B787" s="143"/>
      <c r="C787" s="143"/>
      <c r="D787" s="143"/>
      <c r="E787" s="143"/>
      <c r="F787" s="143"/>
      <c r="G787" s="143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</row>
    <row r="788" spans="1:19" ht="19.5">
      <c r="A788" s="136"/>
      <c r="B788" s="143"/>
      <c r="C788" s="143"/>
      <c r="D788" s="143"/>
      <c r="E788" s="143"/>
      <c r="F788" s="143"/>
      <c r="G788" s="143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</row>
    <row r="789" spans="1:19" ht="19.5">
      <c r="A789" s="136"/>
      <c r="B789" s="143"/>
      <c r="C789" s="143"/>
      <c r="D789" s="143"/>
      <c r="E789" s="143"/>
      <c r="F789" s="143"/>
      <c r="G789" s="143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</row>
    <row r="790" spans="1:19" ht="19.5">
      <c r="A790" s="136"/>
      <c r="B790" s="143"/>
      <c r="C790" s="143"/>
      <c r="D790" s="143"/>
      <c r="E790" s="143"/>
      <c r="F790" s="143"/>
      <c r="G790" s="143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</row>
    <row r="791" spans="1:19" ht="19.5">
      <c r="A791" s="136"/>
      <c r="B791" s="143"/>
      <c r="C791" s="143"/>
      <c r="D791" s="143"/>
      <c r="E791" s="143"/>
      <c r="F791" s="143"/>
      <c r="G791" s="143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</row>
    <row r="792" spans="1:19" ht="19.5">
      <c r="A792" s="136"/>
      <c r="B792" s="143"/>
      <c r="C792" s="143"/>
      <c r="D792" s="143"/>
      <c r="E792" s="143"/>
      <c r="F792" s="143"/>
      <c r="G792" s="143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</row>
    <row r="793" spans="1:19" ht="19.5">
      <c r="A793" s="136"/>
      <c r="B793" s="143"/>
      <c r="C793" s="143"/>
      <c r="D793" s="143"/>
      <c r="E793" s="143"/>
      <c r="F793" s="143"/>
      <c r="G793" s="143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</row>
    <row r="794" spans="1:19" ht="19.5">
      <c r="A794" s="136"/>
      <c r="B794" s="143"/>
      <c r="C794" s="143"/>
      <c r="D794" s="143"/>
      <c r="E794" s="143"/>
      <c r="F794" s="143"/>
      <c r="G794" s="143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</row>
    <row r="795" spans="1:19" ht="19.5">
      <c r="A795" s="136"/>
      <c r="B795" s="143"/>
      <c r="C795" s="143"/>
      <c r="D795" s="143"/>
      <c r="E795" s="143"/>
      <c r="F795" s="143"/>
      <c r="G795" s="143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</row>
    <row r="796" spans="1:19" ht="19.5">
      <c r="A796" s="136"/>
      <c r="B796" s="143"/>
      <c r="C796" s="143"/>
      <c r="D796" s="143"/>
      <c r="E796" s="143"/>
      <c r="F796" s="143"/>
      <c r="G796" s="143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</row>
    <row r="797" spans="1:19" ht="19.5">
      <c r="A797" s="136"/>
      <c r="B797" s="143"/>
      <c r="C797" s="143"/>
      <c r="D797" s="143"/>
      <c r="E797" s="143"/>
      <c r="F797" s="143"/>
      <c r="G797" s="143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</row>
    <row r="798" spans="1:19" ht="19.5">
      <c r="A798" s="136"/>
      <c r="B798" s="143"/>
      <c r="C798" s="143"/>
      <c r="D798" s="143"/>
      <c r="E798" s="143"/>
      <c r="F798" s="143"/>
      <c r="G798" s="143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</row>
    <row r="799" spans="1:19" ht="19.5">
      <c r="A799" s="136"/>
      <c r="B799" s="143"/>
      <c r="C799" s="143"/>
      <c r="D799" s="143"/>
      <c r="E799" s="143"/>
      <c r="F799" s="143"/>
      <c r="G799" s="143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</row>
    <row r="800" spans="1:19" ht="19.5">
      <c r="A800" s="136"/>
      <c r="B800" s="143"/>
      <c r="C800" s="143"/>
      <c r="D800" s="143"/>
      <c r="E800" s="143"/>
      <c r="F800" s="143"/>
      <c r="G800" s="143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</row>
    <row r="801" spans="1:19" ht="19.5">
      <c r="A801" s="136"/>
      <c r="B801" s="143"/>
      <c r="C801" s="143"/>
      <c r="D801" s="143"/>
      <c r="E801" s="143"/>
      <c r="F801" s="143"/>
      <c r="G801" s="143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</row>
    <row r="802" spans="1:19" ht="19.5">
      <c r="A802" s="136"/>
      <c r="B802" s="143"/>
      <c r="C802" s="143"/>
      <c r="D802" s="143"/>
      <c r="E802" s="143"/>
      <c r="F802" s="143"/>
      <c r="G802" s="143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</row>
    <row r="803" spans="1:19" ht="19.5">
      <c r="A803" s="136"/>
      <c r="B803" s="143"/>
      <c r="C803" s="143"/>
      <c r="D803" s="143"/>
      <c r="E803" s="143"/>
      <c r="F803" s="143"/>
      <c r="G803" s="143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</row>
    <row r="804" spans="1:19" ht="19.5">
      <c r="A804" s="136"/>
      <c r="B804" s="143"/>
      <c r="C804" s="143"/>
      <c r="D804" s="143"/>
      <c r="E804" s="143"/>
      <c r="F804" s="143"/>
      <c r="G804" s="143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</row>
    <row r="805" spans="1:19" ht="19.5">
      <c r="A805" s="136"/>
      <c r="B805" s="143"/>
      <c r="C805" s="143"/>
      <c r="D805" s="143"/>
      <c r="E805" s="143"/>
      <c r="F805" s="143"/>
      <c r="G805" s="143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</row>
    <row r="806" spans="1:19" ht="19.5">
      <c r="A806" s="136"/>
      <c r="B806" s="143"/>
      <c r="C806" s="143"/>
      <c r="D806" s="143"/>
      <c r="E806" s="143"/>
      <c r="F806" s="143"/>
      <c r="G806" s="143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</row>
    <row r="807" spans="1:19" ht="19.5">
      <c r="A807" s="136"/>
      <c r="B807" s="143"/>
      <c r="C807" s="143"/>
      <c r="D807" s="143"/>
      <c r="E807" s="143"/>
      <c r="F807" s="143"/>
      <c r="G807" s="143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</row>
    <row r="808" spans="1:19" ht="19.5">
      <c r="A808" s="136"/>
      <c r="B808" s="143"/>
      <c r="C808" s="143"/>
      <c r="D808" s="143"/>
      <c r="E808" s="143"/>
      <c r="F808" s="143"/>
      <c r="G808" s="143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</row>
    <row r="809" spans="1:19" ht="19.5">
      <c r="A809" s="136"/>
      <c r="B809" s="143"/>
      <c r="C809" s="143"/>
      <c r="D809" s="143"/>
      <c r="E809" s="143"/>
      <c r="F809" s="143"/>
      <c r="G809" s="143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</row>
    <row r="810" spans="1:19" ht="19.5">
      <c r="A810" s="136"/>
      <c r="B810" s="143"/>
      <c r="C810" s="143"/>
      <c r="D810" s="143"/>
      <c r="E810" s="143"/>
      <c r="F810" s="143"/>
      <c r="G810" s="143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</row>
    <row r="811" spans="1:19" ht="19.5">
      <c r="A811" s="136"/>
      <c r="B811" s="143"/>
      <c r="C811" s="143"/>
      <c r="D811" s="143"/>
      <c r="E811" s="143"/>
      <c r="F811" s="143"/>
      <c r="G811" s="143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</row>
    <row r="812" spans="1:19" ht="19.5">
      <c r="A812" s="136"/>
      <c r="B812" s="143"/>
      <c r="C812" s="143"/>
      <c r="D812" s="143"/>
      <c r="E812" s="143"/>
      <c r="F812" s="143"/>
      <c r="G812" s="143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</row>
    <row r="813" spans="1:19" ht="19.5">
      <c r="A813" s="136"/>
      <c r="B813" s="143"/>
      <c r="C813" s="143"/>
      <c r="D813" s="143"/>
      <c r="E813" s="143"/>
      <c r="F813" s="143"/>
      <c r="G813" s="143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</row>
    <row r="814" spans="1:19" ht="19.5">
      <c r="A814" s="136"/>
      <c r="B814" s="143"/>
      <c r="C814" s="143"/>
      <c r="D814" s="143"/>
      <c r="E814" s="143"/>
      <c r="F814" s="143"/>
      <c r="G814" s="143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</row>
    <row r="815" spans="1:19" ht="19.5">
      <c r="A815" s="136"/>
      <c r="B815" s="143"/>
      <c r="C815" s="143"/>
      <c r="D815" s="143"/>
      <c r="E815" s="143"/>
      <c r="F815" s="143"/>
      <c r="G815" s="143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</row>
    <row r="816" spans="1:19" ht="19.5">
      <c r="A816" s="136"/>
      <c r="B816" s="143"/>
      <c r="C816" s="143"/>
      <c r="D816" s="143"/>
      <c r="E816" s="143"/>
      <c r="F816" s="143"/>
      <c r="G816" s="143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</row>
    <row r="817" spans="1:19" ht="19.5">
      <c r="A817" s="136"/>
      <c r="B817" s="143"/>
      <c r="C817" s="143"/>
      <c r="D817" s="143"/>
      <c r="E817" s="143"/>
      <c r="F817" s="143"/>
      <c r="G817" s="143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</row>
    <row r="818" spans="1:19" ht="19.5">
      <c r="A818" s="136"/>
      <c r="B818" s="143"/>
      <c r="C818" s="143"/>
      <c r="D818" s="143"/>
      <c r="E818" s="143"/>
      <c r="F818" s="143"/>
      <c r="G818" s="143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</row>
    <row r="819" spans="1:19" ht="19.5">
      <c r="A819" s="136"/>
      <c r="B819" s="143"/>
      <c r="C819" s="143"/>
      <c r="D819" s="143"/>
      <c r="E819" s="143"/>
      <c r="F819" s="143"/>
      <c r="G819" s="143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</row>
    <row r="820" spans="1:19" ht="19.5">
      <c r="A820" s="136"/>
      <c r="B820" s="143"/>
      <c r="C820" s="143"/>
      <c r="D820" s="143"/>
      <c r="E820" s="143"/>
      <c r="F820" s="143"/>
      <c r="G820" s="143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</row>
    <row r="821" spans="1:19" ht="19.5">
      <c r="A821" s="136"/>
      <c r="B821" s="143"/>
      <c r="C821" s="143"/>
      <c r="D821" s="143"/>
      <c r="E821" s="143"/>
      <c r="F821" s="143"/>
      <c r="G821" s="143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</row>
    <row r="822" spans="1:19" ht="19.5">
      <c r="A822" s="136"/>
      <c r="B822" s="143"/>
      <c r="C822" s="143"/>
      <c r="D822" s="143"/>
      <c r="E822" s="143"/>
      <c r="F822" s="143"/>
      <c r="G822" s="143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</row>
    <row r="823" spans="1:19" ht="19.5">
      <c r="A823" s="136"/>
      <c r="B823" s="143"/>
      <c r="C823" s="143"/>
      <c r="D823" s="143"/>
      <c r="E823" s="143"/>
      <c r="F823" s="143"/>
      <c r="G823" s="143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</row>
    <row r="824" spans="1:19" ht="19.5">
      <c r="A824" s="136"/>
      <c r="B824" s="143"/>
      <c r="C824" s="143"/>
      <c r="D824" s="143"/>
      <c r="E824" s="143"/>
      <c r="F824" s="143"/>
      <c r="G824" s="143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</row>
    <row r="825" spans="1:19" ht="19.5">
      <c r="A825" s="136"/>
      <c r="B825" s="143"/>
      <c r="C825" s="143"/>
      <c r="D825" s="143"/>
      <c r="E825" s="143"/>
      <c r="F825" s="143"/>
      <c r="G825" s="143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</row>
    <row r="826" spans="1:19" ht="19.5">
      <c r="A826" s="136"/>
      <c r="B826" s="143"/>
      <c r="C826" s="143"/>
      <c r="D826" s="143"/>
      <c r="E826" s="143"/>
      <c r="F826" s="143"/>
      <c r="G826" s="143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</row>
    <row r="827" spans="1:19" ht="19.5">
      <c r="A827" s="136"/>
      <c r="B827" s="143"/>
      <c r="C827" s="143"/>
      <c r="D827" s="143"/>
      <c r="E827" s="143"/>
      <c r="F827" s="143"/>
      <c r="G827" s="143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</row>
    <row r="828" spans="1:19" ht="19.5">
      <c r="A828" s="136"/>
      <c r="B828" s="143"/>
      <c r="C828" s="143"/>
      <c r="D828" s="143"/>
      <c r="E828" s="143"/>
      <c r="F828" s="143"/>
      <c r="G828" s="143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</row>
    <row r="829" spans="1:19" ht="19.5">
      <c r="A829" s="136"/>
      <c r="B829" s="143"/>
      <c r="C829" s="143"/>
      <c r="D829" s="143"/>
      <c r="E829" s="143"/>
      <c r="F829" s="143"/>
      <c r="G829" s="143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</row>
    <row r="830" spans="1:19" ht="19.5">
      <c r="A830" s="136"/>
      <c r="B830" s="143"/>
      <c r="C830" s="143"/>
      <c r="D830" s="143"/>
      <c r="E830" s="143"/>
      <c r="F830" s="143"/>
      <c r="G830" s="143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</row>
    <row r="831" spans="1:19" ht="19.5">
      <c r="A831" s="136"/>
      <c r="B831" s="143"/>
      <c r="C831" s="143"/>
      <c r="D831" s="143"/>
      <c r="E831" s="143"/>
      <c r="F831" s="143"/>
      <c r="G831" s="143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</row>
    <row r="832" spans="1:19" ht="19.5">
      <c r="A832" s="136"/>
      <c r="B832" s="143"/>
      <c r="C832" s="143"/>
      <c r="D832" s="143"/>
      <c r="E832" s="143"/>
      <c r="F832" s="143"/>
      <c r="G832" s="143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</row>
    <row r="833" spans="1:19" ht="19.5">
      <c r="A833" s="136"/>
      <c r="B833" s="143"/>
      <c r="C833" s="143"/>
      <c r="D833" s="143"/>
      <c r="E833" s="143"/>
      <c r="F833" s="143"/>
      <c r="G833" s="143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</row>
    <row r="834" spans="1:19" ht="19.5">
      <c r="A834" s="136"/>
      <c r="B834" s="143"/>
      <c r="C834" s="143"/>
      <c r="D834" s="143"/>
      <c r="E834" s="143"/>
      <c r="F834" s="143"/>
      <c r="G834" s="143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</row>
    <row r="835" spans="1:19" ht="19.5">
      <c r="A835" s="136"/>
      <c r="B835" s="143"/>
      <c r="C835" s="143"/>
      <c r="D835" s="143"/>
      <c r="E835" s="143"/>
      <c r="F835" s="143"/>
      <c r="G835" s="143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</row>
    <row r="836" spans="1:19" ht="19.5">
      <c r="A836" s="136"/>
      <c r="B836" s="143"/>
      <c r="C836" s="143"/>
      <c r="D836" s="143"/>
      <c r="E836" s="143"/>
      <c r="F836" s="143"/>
      <c r="G836" s="143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</row>
    <row r="837" spans="1:19" ht="19.5">
      <c r="A837" s="136"/>
      <c r="B837" s="143"/>
      <c r="C837" s="143"/>
      <c r="D837" s="143"/>
      <c r="E837" s="143"/>
      <c r="F837" s="143"/>
      <c r="G837" s="143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</row>
    <row r="838" spans="1:19" ht="19.5">
      <c r="A838" s="136"/>
      <c r="B838" s="143"/>
      <c r="C838" s="143"/>
      <c r="D838" s="143"/>
      <c r="E838" s="143"/>
      <c r="F838" s="143"/>
      <c r="G838" s="143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</row>
    <row r="839" spans="1:19" ht="19.5">
      <c r="A839" s="136"/>
      <c r="B839" s="143"/>
      <c r="C839" s="143"/>
      <c r="D839" s="143"/>
      <c r="E839" s="143"/>
      <c r="F839" s="143"/>
      <c r="G839" s="143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</row>
    <row r="840" spans="1:19" ht="19.5">
      <c r="A840" s="136"/>
      <c r="B840" s="143"/>
      <c r="C840" s="143"/>
      <c r="D840" s="143"/>
      <c r="E840" s="143"/>
      <c r="F840" s="143"/>
      <c r="G840" s="143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</row>
    <row r="841" spans="1:19" ht="19.5">
      <c r="A841" s="136"/>
      <c r="B841" s="143"/>
      <c r="C841" s="143"/>
      <c r="D841" s="143"/>
      <c r="E841" s="143"/>
      <c r="F841" s="143"/>
      <c r="G841" s="143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</row>
    <row r="842" spans="1:19" ht="19.5">
      <c r="A842" s="136"/>
      <c r="B842" s="143"/>
      <c r="C842" s="143"/>
      <c r="D842" s="143"/>
      <c r="E842" s="143"/>
      <c r="F842" s="143"/>
      <c r="G842" s="143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</row>
    <row r="843" spans="1:19" ht="19.5">
      <c r="A843" s="136"/>
      <c r="B843" s="143"/>
      <c r="C843" s="143"/>
      <c r="D843" s="143"/>
      <c r="E843" s="143"/>
      <c r="F843" s="143"/>
      <c r="G843" s="143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</row>
    <row r="844" spans="1:19" ht="19.5">
      <c r="A844" s="136"/>
      <c r="B844" s="143"/>
      <c r="C844" s="143"/>
      <c r="D844" s="143"/>
      <c r="E844" s="143"/>
      <c r="F844" s="143"/>
      <c r="G844" s="143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</row>
    <row r="845" spans="1:19" ht="19.5">
      <c r="A845" s="136"/>
      <c r="B845" s="143"/>
      <c r="C845" s="143"/>
      <c r="D845" s="143"/>
      <c r="E845" s="143"/>
      <c r="F845" s="143"/>
      <c r="G845" s="143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</row>
    <row r="846" spans="1:19" ht="19.5">
      <c r="A846" s="136"/>
      <c r="B846" s="143"/>
      <c r="C846" s="143"/>
      <c r="D846" s="143"/>
      <c r="E846" s="143"/>
      <c r="F846" s="143"/>
      <c r="G846" s="143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</row>
    <row r="847" spans="1:19" ht="19.5">
      <c r="A847" s="136"/>
      <c r="B847" s="143"/>
      <c r="C847" s="143"/>
      <c r="D847" s="143"/>
      <c r="E847" s="143"/>
      <c r="F847" s="143"/>
      <c r="G847" s="143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</row>
    <row r="848" spans="1:19" ht="19.5">
      <c r="A848" s="136"/>
      <c r="B848" s="143"/>
      <c r="C848" s="143"/>
      <c r="D848" s="143"/>
      <c r="E848" s="143"/>
      <c r="F848" s="143"/>
      <c r="G848" s="143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</row>
    <row r="849" spans="1:19" ht="19.5">
      <c r="A849" s="136"/>
      <c r="B849" s="143"/>
      <c r="C849" s="143"/>
      <c r="D849" s="143"/>
      <c r="E849" s="143"/>
      <c r="F849" s="143"/>
      <c r="G849" s="143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</row>
    <row r="850" spans="1:19" ht="19.5">
      <c r="A850" s="136"/>
      <c r="B850" s="143"/>
      <c r="C850" s="143"/>
      <c r="D850" s="143"/>
      <c r="E850" s="143"/>
      <c r="F850" s="143"/>
      <c r="G850" s="143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</row>
    <row r="851" spans="1:19" ht="19.5">
      <c r="A851" s="136"/>
      <c r="B851" s="143"/>
      <c r="C851" s="143"/>
      <c r="D851" s="143"/>
      <c r="E851" s="143"/>
      <c r="F851" s="143"/>
      <c r="G851" s="143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</row>
    <row r="852" spans="1:19" ht="19.5">
      <c r="A852" s="136"/>
      <c r="B852" s="143"/>
      <c r="C852" s="143"/>
      <c r="D852" s="143"/>
      <c r="E852" s="143"/>
      <c r="F852" s="143"/>
      <c r="G852" s="143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</row>
    <row r="853" spans="1:19" ht="19.5">
      <c r="A853" s="136"/>
      <c r="B853" s="143"/>
      <c r="C853" s="143"/>
      <c r="D853" s="143"/>
      <c r="E853" s="143"/>
      <c r="F853" s="143"/>
      <c r="G853" s="143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</row>
    <row r="854" spans="1:19" ht="19.5">
      <c r="A854" s="136"/>
      <c r="B854" s="143"/>
      <c r="C854" s="143"/>
      <c r="D854" s="143"/>
      <c r="E854" s="143"/>
      <c r="F854" s="143"/>
      <c r="G854" s="143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</row>
    <row r="855" spans="1:19" ht="19.5">
      <c r="A855" s="136"/>
      <c r="B855" s="143"/>
      <c r="C855" s="143"/>
      <c r="D855" s="143"/>
      <c r="E855" s="143"/>
      <c r="F855" s="143"/>
      <c r="G855" s="143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</row>
    <row r="856" spans="1:19" ht="19.5">
      <c r="A856" s="136"/>
      <c r="B856" s="143"/>
      <c r="C856" s="143"/>
      <c r="D856" s="143"/>
      <c r="E856" s="143"/>
      <c r="F856" s="143"/>
      <c r="G856" s="143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</row>
    <row r="857" spans="1:19" ht="19.5">
      <c r="A857" s="136"/>
      <c r="B857" s="143"/>
      <c r="C857" s="143"/>
      <c r="D857" s="143"/>
      <c r="E857" s="143"/>
      <c r="F857" s="143"/>
      <c r="G857" s="143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</row>
    <row r="858" spans="1:19" ht="19.5">
      <c r="A858" s="136"/>
      <c r="B858" s="143"/>
      <c r="C858" s="143"/>
      <c r="D858" s="143"/>
      <c r="E858" s="143"/>
      <c r="F858" s="143"/>
      <c r="G858" s="143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</row>
    <row r="859" spans="1:19" ht="19.5">
      <c r="A859" s="136"/>
      <c r="B859" s="143"/>
      <c r="C859" s="143"/>
      <c r="D859" s="143"/>
      <c r="E859" s="143"/>
      <c r="F859" s="143"/>
      <c r="G859" s="143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</row>
    <row r="860" spans="1:19" ht="19.5">
      <c r="A860" s="136"/>
      <c r="B860" s="143"/>
      <c r="C860" s="143"/>
      <c r="D860" s="143"/>
      <c r="E860" s="143"/>
      <c r="F860" s="143"/>
      <c r="G860" s="143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</row>
    <row r="861" spans="1:19" ht="19.5">
      <c r="A861" s="136"/>
      <c r="B861" s="143"/>
      <c r="C861" s="143"/>
      <c r="D861" s="143"/>
      <c r="E861" s="143"/>
      <c r="F861" s="143"/>
      <c r="G861" s="143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</row>
    <row r="862" spans="1:19" ht="19.5">
      <c r="A862" s="136"/>
      <c r="B862" s="143"/>
      <c r="C862" s="143"/>
      <c r="D862" s="143"/>
      <c r="E862" s="143"/>
      <c r="F862" s="143"/>
      <c r="G862" s="143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</row>
    <row r="863" spans="1:19" ht="19.5">
      <c r="A863" s="136"/>
      <c r="B863" s="143"/>
      <c r="C863" s="143"/>
      <c r="D863" s="143"/>
      <c r="E863" s="143"/>
      <c r="F863" s="143"/>
      <c r="G863" s="143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</row>
    <row r="864" spans="1:19" ht="19.5">
      <c r="A864" s="136"/>
      <c r="B864" s="143"/>
      <c r="C864" s="143"/>
      <c r="D864" s="143"/>
      <c r="E864" s="143"/>
      <c r="F864" s="143"/>
      <c r="G864" s="143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</row>
    <row r="865" spans="1:19" ht="19.5">
      <c r="A865" s="136"/>
      <c r="B865" s="143"/>
      <c r="C865" s="143"/>
      <c r="D865" s="143"/>
      <c r="E865" s="143"/>
      <c r="F865" s="143"/>
      <c r="G865" s="143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</row>
    <row r="866" spans="1:19" ht="19.5">
      <c r="A866" s="136"/>
      <c r="B866" s="143"/>
      <c r="C866" s="143"/>
      <c r="D866" s="143"/>
      <c r="E866" s="143"/>
      <c r="F866" s="143"/>
      <c r="G866" s="143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</row>
    <row r="867" spans="1:19" ht="19.5">
      <c r="A867" s="136"/>
      <c r="B867" s="143"/>
      <c r="C867" s="143"/>
      <c r="D867" s="143"/>
      <c r="E867" s="143"/>
      <c r="F867" s="143"/>
      <c r="G867" s="143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</row>
    <row r="868" spans="1:19" ht="19.5">
      <c r="A868" s="136"/>
      <c r="B868" s="143"/>
      <c r="C868" s="143"/>
      <c r="D868" s="143"/>
      <c r="E868" s="143"/>
      <c r="F868" s="143"/>
      <c r="G868" s="143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</row>
    <row r="869" spans="1:19" ht="19.5">
      <c r="A869" s="136"/>
      <c r="B869" s="143"/>
      <c r="C869" s="143"/>
      <c r="D869" s="143"/>
      <c r="E869" s="143"/>
      <c r="F869" s="143"/>
      <c r="G869" s="143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</row>
    <row r="870" spans="1:19" ht="19.5">
      <c r="A870" s="136"/>
      <c r="B870" s="143"/>
      <c r="C870" s="143"/>
      <c r="D870" s="143"/>
      <c r="E870" s="143"/>
      <c r="F870" s="143"/>
      <c r="G870" s="143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</row>
    <row r="871" spans="1:19" ht="19.5">
      <c r="A871" s="136"/>
      <c r="B871" s="143"/>
      <c r="C871" s="143"/>
      <c r="D871" s="143"/>
      <c r="E871" s="143"/>
      <c r="F871" s="143"/>
      <c r="G871" s="143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</row>
    <row r="872" spans="1:19" ht="19.5">
      <c r="A872" s="136"/>
      <c r="B872" s="143"/>
      <c r="C872" s="143"/>
      <c r="D872" s="143"/>
      <c r="E872" s="143"/>
      <c r="F872" s="143"/>
      <c r="G872" s="143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</row>
    <row r="873" spans="1:19" ht="19.5">
      <c r="A873" s="136"/>
      <c r="B873" s="143"/>
      <c r="C873" s="143"/>
      <c r="D873" s="143"/>
      <c r="E873" s="143"/>
      <c r="F873" s="143"/>
      <c r="G873" s="143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</row>
    <row r="874" spans="1:19" ht="19.5">
      <c r="A874" s="136"/>
      <c r="B874" s="143"/>
      <c r="C874" s="143"/>
      <c r="D874" s="143"/>
      <c r="E874" s="143"/>
      <c r="F874" s="143"/>
      <c r="G874" s="143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</row>
    <row r="875" spans="1:19" ht="19.5">
      <c r="A875" s="136"/>
      <c r="B875" s="143"/>
      <c r="C875" s="143"/>
      <c r="D875" s="143"/>
      <c r="E875" s="143"/>
      <c r="F875" s="143"/>
      <c r="G875" s="143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</row>
    <row r="876" spans="1:19" ht="19.5">
      <c r="A876" s="136"/>
      <c r="B876" s="143"/>
      <c r="C876" s="143"/>
      <c r="D876" s="143"/>
      <c r="E876" s="143"/>
      <c r="F876" s="143"/>
      <c r="G876" s="143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</row>
    <row r="877" spans="1:19" ht="19.5">
      <c r="A877" s="136"/>
      <c r="B877" s="143"/>
      <c r="C877" s="143"/>
      <c r="D877" s="143"/>
      <c r="E877" s="143"/>
      <c r="F877" s="143"/>
      <c r="G877" s="143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</row>
    <row r="878" spans="1:19" ht="19.5">
      <c r="A878" s="136"/>
      <c r="B878" s="143"/>
      <c r="C878" s="143"/>
      <c r="D878" s="143"/>
      <c r="E878" s="143"/>
      <c r="F878" s="143"/>
      <c r="G878" s="143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</row>
    <row r="879" spans="1:19" ht="19.5">
      <c r="A879" s="136"/>
      <c r="B879" s="143"/>
      <c r="C879" s="143"/>
      <c r="D879" s="143"/>
      <c r="E879" s="143"/>
      <c r="F879" s="143"/>
      <c r="G879" s="143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</row>
    <row r="880" spans="1:19" ht="19.5">
      <c r="A880" s="136"/>
      <c r="B880" s="143"/>
      <c r="C880" s="143"/>
      <c r="D880" s="143"/>
      <c r="E880" s="143"/>
      <c r="F880" s="143"/>
      <c r="G880" s="143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</row>
    <row r="881" spans="1:19" ht="19.5">
      <c r="A881" s="136"/>
      <c r="B881" s="143"/>
      <c r="C881" s="143"/>
      <c r="D881" s="143"/>
      <c r="E881" s="143"/>
      <c r="F881" s="143"/>
      <c r="G881" s="143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</row>
    <row r="882" spans="1:19" ht="19.5">
      <c r="A882" s="136"/>
      <c r="B882" s="143"/>
      <c r="C882" s="143"/>
      <c r="D882" s="143"/>
      <c r="E882" s="143"/>
      <c r="F882" s="143"/>
      <c r="G882" s="143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</row>
    <row r="883" spans="1:19" ht="19.5">
      <c r="A883" s="136"/>
      <c r="B883" s="143"/>
      <c r="C883" s="143"/>
      <c r="D883" s="143"/>
      <c r="E883" s="143"/>
      <c r="F883" s="143"/>
      <c r="G883" s="143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</row>
    <row r="884" spans="1:19" ht="19.5">
      <c r="A884" s="136"/>
      <c r="B884" s="143"/>
      <c r="C884" s="143"/>
      <c r="D884" s="143"/>
      <c r="E884" s="143"/>
      <c r="F884" s="143"/>
      <c r="G884" s="143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</row>
    <row r="885" spans="1:19" ht="19.5">
      <c r="A885" s="136"/>
      <c r="B885" s="143"/>
      <c r="C885" s="143"/>
      <c r="D885" s="143"/>
      <c r="E885" s="143"/>
      <c r="F885" s="143"/>
      <c r="G885" s="143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</row>
    <row r="886" spans="1:19" ht="19.5">
      <c r="A886" s="136"/>
      <c r="B886" s="143"/>
      <c r="C886" s="143"/>
      <c r="D886" s="143"/>
      <c r="E886" s="143"/>
      <c r="F886" s="143"/>
      <c r="G886" s="143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</row>
    <row r="887" spans="1:19" ht="19.5">
      <c r="A887" s="136"/>
      <c r="B887" s="143"/>
      <c r="C887" s="143"/>
      <c r="D887" s="143"/>
      <c r="E887" s="143"/>
      <c r="F887" s="143"/>
      <c r="G887" s="143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</row>
    <row r="888" spans="1:19" ht="19.5">
      <c r="A888" s="136"/>
      <c r="B888" s="143"/>
      <c r="C888" s="143"/>
      <c r="D888" s="143"/>
      <c r="E888" s="143"/>
      <c r="F888" s="143"/>
      <c r="G888" s="143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</row>
    <row r="889" spans="1:19" ht="19.5">
      <c r="A889" s="136"/>
      <c r="B889" s="143"/>
      <c r="C889" s="143"/>
      <c r="D889" s="143"/>
      <c r="E889" s="143"/>
      <c r="F889" s="143"/>
      <c r="G889" s="143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</row>
    <row r="890" spans="1:19" ht="19.5">
      <c r="A890" s="136"/>
      <c r="B890" s="143"/>
      <c r="C890" s="143"/>
      <c r="D890" s="143"/>
      <c r="E890" s="143"/>
      <c r="F890" s="143"/>
      <c r="G890" s="143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</row>
    <row r="891" spans="1:19" ht="19.5">
      <c r="A891" s="136"/>
      <c r="B891" s="143"/>
      <c r="C891" s="143"/>
      <c r="D891" s="143"/>
      <c r="E891" s="143"/>
      <c r="F891" s="143"/>
      <c r="G891" s="143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</row>
    <row r="892" spans="1:19" ht="19.5">
      <c r="A892" s="136"/>
      <c r="B892" s="143"/>
      <c r="C892" s="143"/>
      <c r="D892" s="143"/>
      <c r="E892" s="143"/>
      <c r="F892" s="143"/>
      <c r="G892" s="143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</row>
    <row r="893" spans="1:19" ht="19.5">
      <c r="A893" s="136"/>
      <c r="B893" s="143"/>
      <c r="C893" s="143"/>
      <c r="D893" s="143"/>
      <c r="E893" s="143"/>
      <c r="F893" s="143"/>
      <c r="G893" s="143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</row>
    <row r="894" spans="1:19" ht="19.5">
      <c r="A894" s="136"/>
      <c r="B894" s="143"/>
      <c r="C894" s="143"/>
      <c r="D894" s="143"/>
      <c r="E894" s="143"/>
      <c r="F894" s="143"/>
      <c r="G894" s="143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</row>
    <row r="895" spans="1:19" ht="19.5">
      <c r="A895" s="136"/>
      <c r="B895" s="143"/>
      <c r="C895" s="143"/>
      <c r="D895" s="143"/>
      <c r="E895" s="143"/>
      <c r="F895" s="143"/>
      <c r="G895" s="143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</row>
    <row r="896" spans="1:19" ht="19.5">
      <c r="A896" s="136"/>
      <c r="B896" s="143"/>
      <c r="C896" s="143"/>
      <c r="D896" s="143"/>
      <c r="E896" s="143"/>
      <c r="F896" s="143"/>
      <c r="G896" s="143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</row>
    <row r="897" spans="1:19" ht="19.5">
      <c r="A897" s="136"/>
      <c r="B897" s="143"/>
      <c r="C897" s="143"/>
      <c r="D897" s="143"/>
      <c r="E897" s="143"/>
      <c r="F897" s="143"/>
      <c r="G897" s="143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</row>
    <row r="898" spans="1:19" ht="19.5">
      <c r="A898" s="136"/>
      <c r="B898" s="143"/>
      <c r="C898" s="143"/>
      <c r="D898" s="143"/>
      <c r="E898" s="143"/>
      <c r="F898" s="143"/>
      <c r="G898" s="143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</row>
    <row r="899" spans="1:19" ht="19.5">
      <c r="A899" s="136"/>
      <c r="B899" s="143"/>
      <c r="C899" s="143"/>
      <c r="D899" s="143"/>
      <c r="E899" s="143"/>
      <c r="F899" s="143"/>
      <c r="G899" s="143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</row>
    <row r="900" spans="1:19" ht="19.5">
      <c r="A900" s="136"/>
      <c r="B900" s="143"/>
      <c r="C900" s="143"/>
      <c r="D900" s="143"/>
      <c r="E900" s="143"/>
      <c r="F900" s="143"/>
      <c r="G900" s="143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</row>
    <row r="901" spans="1:19" ht="19.5">
      <c r="A901" s="136"/>
      <c r="B901" s="143"/>
      <c r="C901" s="143"/>
      <c r="D901" s="143"/>
      <c r="E901" s="143"/>
      <c r="F901" s="143"/>
      <c r="G901" s="143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</row>
    <row r="902" spans="1:19" ht="19.5">
      <c r="A902" s="136"/>
      <c r="B902" s="143"/>
      <c r="C902" s="143"/>
      <c r="D902" s="143"/>
      <c r="E902" s="143"/>
      <c r="F902" s="143"/>
      <c r="G902" s="143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</row>
    <row r="903" spans="1:19" ht="19.5">
      <c r="A903" s="136"/>
      <c r="B903" s="143"/>
      <c r="C903" s="143"/>
      <c r="D903" s="143"/>
      <c r="E903" s="143"/>
      <c r="F903" s="143"/>
      <c r="G903" s="143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</row>
    <row r="904" spans="1:19" ht="19.5">
      <c r="A904" s="136"/>
      <c r="B904" s="143"/>
      <c r="C904" s="143"/>
      <c r="D904" s="143"/>
      <c r="E904" s="143"/>
      <c r="F904" s="143"/>
      <c r="G904" s="143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</row>
    <row r="905" spans="1:19" ht="19.5">
      <c r="A905" s="136"/>
      <c r="B905" s="143"/>
      <c r="C905" s="143"/>
      <c r="D905" s="143"/>
      <c r="E905" s="143"/>
      <c r="F905" s="143"/>
      <c r="G905" s="143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</row>
    <row r="906" spans="1:19" ht="19.5">
      <c r="A906" s="136"/>
      <c r="B906" s="143"/>
      <c r="C906" s="143"/>
      <c r="D906" s="143"/>
      <c r="E906" s="143"/>
      <c r="F906" s="143"/>
      <c r="G906" s="143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</row>
    <row r="907" spans="1:19" ht="19.5">
      <c r="A907" s="136"/>
      <c r="B907" s="143"/>
      <c r="C907" s="143"/>
      <c r="D907" s="143"/>
      <c r="E907" s="143"/>
      <c r="F907" s="143"/>
      <c r="G907" s="143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</row>
    <row r="908" spans="1:19" ht="19.5">
      <c r="A908" s="136"/>
      <c r="B908" s="143"/>
      <c r="C908" s="143"/>
      <c r="D908" s="143"/>
      <c r="E908" s="143"/>
      <c r="F908" s="143"/>
      <c r="G908" s="143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</row>
    <row r="909" spans="1:19" ht="19.5">
      <c r="A909" s="136"/>
      <c r="B909" s="143"/>
      <c r="C909" s="143"/>
      <c r="D909" s="143"/>
      <c r="E909" s="143"/>
      <c r="F909" s="143"/>
      <c r="G909" s="143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</row>
    <row r="910" spans="1:19" ht="19.5">
      <c r="A910" s="136"/>
      <c r="B910" s="143"/>
      <c r="C910" s="143"/>
      <c r="D910" s="143"/>
      <c r="E910" s="143"/>
      <c r="F910" s="143"/>
      <c r="G910" s="143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</row>
    <row r="911" spans="1:19" ht="19.5">
      <c r="A911" s="136"/>
      <c r="B911" s="143"/>
      <c r="C911" s="143"/>
      <c r="D911" s="143"/>
      <c r="E911" s="143"/>
      <c r="F911" s="143"/>
      <c r="G911" s="143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</row>
    <row r="912" spans="1:19" ht="19.5">
      <c r="A912" s="136"/>
      <c r="B912" s="143"/>
      <c r="C912" s="143"/>
      <c r="D912" s="143"/>
      <c r="E912" s="143"/>
      <c r="F912" s="143"/>
      <c r="G912" s="143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</row>
    <row r="913" spans="1:19" ht="19.5">
      <c r="A913" s="136"/>
      <c r="B913" s="143"/>
      <c r="C913" s="143"/>
      <c r="D913" s="143"/>
      <c r="E913" s="143"/>
      <c r="F913" s="143"/>
      <c r="G913" s="143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</row>
    <row r="914" spans="1:19" ht="19.5">
      <c r="A914" s="136"/>
      <c r="B914" s="143"/>
      <c r="C914" s="143"/>
      <c r="D914" s="143"/>
      <c r="E914" s="143"/>
      <c r="F914" s="143"/>
      <c r="G914" s="143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</row>
    <row r="915" spans="1:19" ht="19.5">
      <c r="A915" s="136"/>
      <c r="B915" s="143"/>
      <c r="C915" s="143"/>
      <c r="D915" s="143"/>
      <c r="E915" s="143"/>
      <c r="F915" s="143"/>
      <c r="G915" s="143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</row>
    <row r="916" spans="1:19" ht="19.5">
      <c r="A916" s="136"/>
      <c r="B916" s="143"/>
      <c r="C916" s="143"/>
      <c r="D916" s="143"/>
      <c r="E916" s="143"/>
      <c r="F916" s="143"/>
      <c r="G916" s="143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</row>
    <row r="917" spans="1:19" ht="19.5">
      <c r="A917" s="136"/>
      <c r="B917" s="143"/>
      <c r="C917" s="143"/>
      <c r="D917" s="143"/>
      <c r="E917" s="143"/>
      <c r="F917" s="143"/>
      <c r="G917" s="143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</row>
    <row r="918" spans="1:19" ht="19.5">
      <c r="A918" s="136"/>
      <c r="B918" s="143"/>
      <c r="C918" s="143"/>
      <c r="D918" s="143"/>
      <c r="E918" s="143"/>
      <c r="F918" s="143"/>
      <c r="G918" s="143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</row>
    <row r="919" spans="1:19" ht="19.5">
      <c r="A919" s="136"/>
      <c r="B919" s="143"/>
      <c r="C919" s="143"/>
      <c r="D919" s="143"/>
      <c r="E919" s="143"/>
      <c r="F919" s="143"/>
      <c r="G919" s="143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</row>
    <row r="920" spans="1:19" ht="19.5">
      <c r="A920" s="136"/>
      <c r="B920" s="143"/>
      <c r="C920" s="143"/>
      <c r="D920" s="143"/>
      <c r="E920" s="143"/>
      <c r="F920" s="143"/>
      <c r="G920" s="143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</row>
    <row r="921" spans="1:19" ht="19.5">
      <c r="A921" s="136"/>
      <c r="B921" s="143"/>
      <c r="C921" s="143"/>
      <c r="D921" s="143"/>
      <c r="E921" s="143"/>
      <c r="F921" s="143"/>
      <c r="G921" s="143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</row>
    <row r="922" spans="1:19" ht="19.5">
      <c r="A922" s="136"/>
      <c r="B922" s="143"/>
      <c r="C922" s="143"/>
      <c r="D922" s="143"/>
      <c r="E922" s="143"/>
      <c r="F922" s="143"/>
      <c r="G922" s="143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</row>
    <row r="923" spans="1:19" ht="19.5">
      <c r="A923" s="136"/>
      <c r="B923" s="143"/>
      <c r="C923" s="143"/>
      <c r="D923" s="143"/>
      <c r="E923" s="143"/>
      <c r="F923" s="143"/>
      <c r="G923" s="143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</row>
    <row r="924" spans="1:19" ht="19.5">
      <c r="A924" s="136"/>
      <c r="B924" s="143"/>
      <c r="C924" s="143"/>
      <c r="D924" s="143"/>
      <c r="E924" s="143"/>
      <c r="F924" s="143"/>
      <c r="G924" s="143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</row>
    <row r="925" spans="1:19" ht="19.5">
      <c r="A925" s="136"/>
      <c r="B925" s="143"/>
      <c r="C925" s="143"/>
      <c r="D925" s="143"/>
      <c r="E925" s="143"/>
      <c r="F925" s="143"/>
      <c r="G925" s="143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</row>
    <row r="926" spans="1:19" ht="19.5">
      <c r="A926" s="136"/>
      <c r="B926" s="143"/>
      <c r="C926" s="143"/>
      <c r="D926" s="143"/>
      <c r="E926" s="143"/>
      <c r="F926" s="143"/>
      <c r="G926" s="143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</row>
    <row r="927" spans="1:19" ht="19.5">
      <c r="A927" s="136"/>
      <c r="B927" s="143"/>
      <c r="C927" s="143"/>
      <c r="D927" s="143"/>
      <c r="E927" s="143"/>
      <c r="F927" s="143"/>
      <c r="G927" s="143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</row>
    <row r="928" spans="1:19" ht="19.5">
      <c r="A928" s="136"/>
      <c r="B928" s="143"/>
      <c r="C928" s="143"/>
      <c r="D928" s="143"/>
      <c r="E928" s="143"/>
      <c r="F928" s="143"/>
      <c r="G928" s="143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</row>
    <row r="929" spans="1:19" ht="19.5">
      <c r="A929" s="136"/>
      <c r="B929" s="143"/>
      <c r="C929" s="143"/>
      <c r="D929" s="143"/>
      <c r="E929" s="143"/>
      <c r="F929" s="143"/>
      <c r="G929" s="143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</row>
    <row r="930" spans="1:19" ht="19.5">
      <c r="A930" s="136"/>
      <c r="B930" s="143"/>
      <c r="C930" s="143"/>
      <c r="D930" s="143"/>
      <c r="E930" s="143"/>
      <c r="F930" s="143"/>
      <c r="G930" s="143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</row>
    <row r="931" spans="1:19" ht="19.5">
      <c r="A931" s="136"/>
      <c r="B931" s="143"/>
      <c r="C931" s="143"/>
      <c r="D931" s="143"/>
      <c r="E931" s="143"/>
      <c r="F931" s="143"/>
      <c r="G931" s="143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</row>
    <row r="932" spans="1:19" ht="19.5">
      <c r="A932" s="136"/>
      <c r="B932" s="143"/>
      <c r="C932" s="143"/>
      <c r="D932" s="143"/>
      <c r="E932" s="143"/>
      <c r="F932" s="143"/>
      <c r="G932" s="143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</row>
    <row r="933" spans="1:19" ht="19.5">
      <c r="A933" s="136"/>
      <c r="B933" s="143"/>
      <c r="C933" s="143"/>
      <c r="D933" s="143"/>
      <c r="E933" s="143"/>
      <c r="F933" s="143"/>
      <c r="G933" s="143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</row>
    <row r="934" spans="1:19" ht="19.5">
      <c r="A934" s="136"/>
      <c r="B934" s="143"/>
      <c r="C934" s="143"/>
      <c r="D934" s="143"/>
      <c r="E934" s="143"/>
      <c r="F934" s="143"/>
      <c r="G934" s="143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</row>
    <row r="935" spans="1:19" ht="19.5">
      <c r="A935" s="136"/>
      <c r="B935" s="143"/>
      <c r="C935" s="143"/>
      <c r="D935" s="143"/>
      <c r="E935" s="143"/>
      <c r="F935" s="143"/>
      <c r="G935" s="143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</row>
    <row r="936" spans="1:19" ht="19.5">
      <c r="A936" s="136"/>
      <c r="B936" s="143"/>
      <c r="C936" s="143"/>
      <c r="D936" s="143"/>
      <c r="E936" s="143"/>
      <c r="F936" s="143"/>
      <c r="G936" s="143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</row>
    <row r="937" spans="1:19" ht="19.5">
      <c r="A937" s="136"/>
      <c r="B937" s="143"/>
      <c r="C937" s="143"/>
      <c r="D937" s="143"/>
      <c r="E937" s="143"/>
      <c r="F937" s="143"/>
      <c r="G937" s="143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</row>
    <row r="938" spans="1:19" ht="19.5">
      <c r="A938" s="136"/>
      <c r="B938" s="143"/>
      <c r="C938" s="143"/>
      <c r="D938" s="143"/>
      <c r="E938" s="143"/>
      <c r="F938" s="143"/>
      <c r="G938" s="143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</row>
    <row r="939" spans="1:19" ht="19.5">
      <c r="A939" s="136"/>
      <c r="B939" s="143"/>
      <c r="C939" s="143"/>
      <c r="D939" s="143"/>
      <c r="E939" s="143"/>
      <c r="F939" s="143"/>
      <c r="G939" s="143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</row>
    <row r="940" spans="1:19" ht="19.5">
      <c r="A940" s="136"/>
      <c r="B940" s="143"/>
      <c r="C940" s="143"/>
      <c r="D940" s="143"/>
      <c r="E940" s="143"/>
      <c r="F940" s="143"/>
      <c r="G940" s="143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</row>
    <row r="941" spans="1:19" ht="19.5">
      <c r="A941" s="136"/>
      <c r="B941" s="143"/>
      <c r="C941" s="143"/>
      <c r="D941" s="143"/>
      <c r="E941" s="143"/>
      <c r="F941" s="143"/>
      <c r="G941" s="143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</row>
    <row r="942" spans="1:19" ht="19.5">
      <c r="A942" s="136"/>
      <c r="B942" s="143"/>
      <c r="C942" s="143"/>
      <c r="D942" s="143"/>
      <c r="E942" s="143"/>
      <c r="F942" s="143"/>
      <c r="G942" s="143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</row>
    <row r="943" spans="1:19" ht="19.5">
      <c r="A943" s="136"/>
      <c r="B943" s="143"/>
      <c r="C943" s="143"/>
      <c r="D943" s="143"/>
      <c r="E943" s="143"/>
      <c r="F943" s="143"/>
      <c r="G943" s="143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</row>
    <row r="944" spans="1:19" ht="19.5">
      <c r="A944" s="136"/>
      <c r="B944" s="143"/>
      <c r="C944" s="143"/>
      <c r="D944" s="143"/>
      <c r="E944" s="143"/>
      <c r="F944" s="143"/>
      <c r="G944" s="143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</row>
    <row r="945" spans="1:19" ht="19.5">
      <c r="A945" s="136"/>
      <c r="B945" s="143"/>
      <c r="C945" s="143"/>
      <c r="D945" s="143"/>
      <c r="E945" s="143"/>
      <c r="F945" s="143"/>
      <c r="G945" s="143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</row>
    <row r="946" spans="1:19" ht="19.5">
      <c r="A946" s="136"/>
      <c r="B946" s="143"/>
      <c r="C946" s="143"/>
      <c r="D946" s="143"/>
      <c r="E946" s="143"/>
      <c r="F946" s="143"/>
      <c r="G946" s="143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</row>
    <row r="947" spans="1:19" ht="19.5">
      <c r="A947" s="136"/>
      <c r="B947" s="143"/>
      <c r="C947" s="143"/>
      <c r="D947" s="143"/>
      <c r="E947" s="143"/>
      <c r="F947" s="143"/>
      <c r="G947" s="143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</row>
    <row r="948" spans="1:19" ht="19.5">
      <c r="A948" s="136"/>
      <c r="B948" s="143"/>
      <c r="C948" s="143"/>
      <c r="D948" s="143"/>
      <c r="E948" s="143"/>
      <c r="F948" s="143"/>
      <c r="G948" s="143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</row>
    <row r="949" spans="1:19" ht="19.5">
      <c r="A949" s="136"/>
      <c r="B949" s="143"/>
      <c r="C949" s="143"/>
      <c r="D949" s="143"/>
      <c r="E949" s="143"/>
      <c r="F949" s="143"/>
      <c r="G949" s="143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</row>
    <row r="950" spans="1:19" ht="19.5">
      <c r="A950" s="136"/>
      <c r="B950" s="143"/>
      <c r="C950" s="143"/>
      <c r="D950" s="143"/>
      <c r="E950" s="143"/>
      <c r="F950" s="143"/>
      <c r="G950" s="143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</row>
    <row r="951" spans="1:19" ht="19.5">
      <c r="A951" s="136"/>
      <c r="B951" s="143"/>
      <c r="C951" s="143"/>
      <c r="D951" s="143"/>
      <c r="E951" s="143"/>
      <c r="F951" s="143"/>
      <c r="G951" s="143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</row>
    <row r="952" spans="1:19" ht="19.5">
      <c r="A952" s="136"/>
      <c r="B952" s="143"/>
      <c r="C952" s="143"/>
      <c r="D952" s="143"/>
      <c r="E952" s="143"/>
      <c r="F952" s="143"/>
      <c r="G952" s="143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</row>
    <row r="953" spans="1:19" ht="19.5">
      <c r="A953" s="136"/>
      <c r="B953" s="143"/>
      <c r="C953" s="143"/>
      <c r="D953" s="143"/>
      <c r="E953" s="143"/>
      <c r="F953" s="143"/>
      <c r="G953" s="143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</row>
    <row r="954" spans="1:19" ht="19.5">
      <c r="A954" s="136"/>
      <c r="B954" s="143"/>
      <c r="C954" s="143"/>
      <c r="D954" s="143"/>
      <c r="E954" s="143"/>
      <c r="F954" s="143"/>
      <c r="G954" s="143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</row>
    <row r="955" spans="1:19" ht="19.5">
      <c r="A955" s="136"/>
      <c r="B955" s="143"/>
      <c r="C955" s="143"/>
      <c r="D955" s="143"/>
      <c r="E955" s="143"/>
      <c r="F955" s="143"/>
      <c r="G955" s="143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</row>
    <row r="956" spans="1:19" ht="19.5">
      <c r="A956" s="136"/>
      <c r="B956" s="143"/>
      <c r="C956" s="143"/>
      <c r="D956" s="143"/>
      <c r="E956" s="143"/>
      <c r="F956" s="143"/>
      <c r="G956" s="143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</row>
    <row r="957" spans="1:19" ht="19.5">
      <c r="A957" s="136"/>
      <c r="B957" s="143"/>
      <c r="C957" s="143"/>
      <c r="D957" s="143"/>
      <c r="E957" s="143"/>
      <c r="F957" s="143"/>
      <c r="G957" s="143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</row>
    <row r="958" spans="1:19" ht="19.5">
      <c r="A958" s="136"/>
      <c r="B958" s="143"/>
      <c r="C958" s="143"/>
      <c r="D958" s="143"/>
      <c r="E958" s="143"/>
      <c r="F958" s="143"/>
      <c r="G958" s="143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</row>
    <row r="959" spans="1:19" ht="19.5">
      <c r="A959" s="136"/>
      <c r="B959" s="143"/>
      <c r="C959" s="143"/>
      <c r="D959" s="143"/>
      <c r="E959" s="143"/>
      <c r="F959" s="143"/>
      <c r="G959" s="143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</row>
    <row r="960" spans="1:19" ht="19.5">
      <c r="A960" s="136"/>
      <c r="B960" s="143"/>
      <c r="C960" s="143"/>
      <c r="D960" s="143"/>
      <c r="E960" s="143"/>
      <c r="F960" s="143"/>
      <c r="G960" s="143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</row>
    <row r="961" spans="1:19" ht="19.5">
      <c r="A961" s="136"/>
      <c r="B961" s="143"/>
      <c r="C961" s="143"/>
      <c r="D961" s="143"/>
      <c r="E961" s="143"/>
      <c r="F961" s="143"/>
      <c r="G961" s="143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</row>
    <row r="962" spans="1:19" ht="19.5">
      <c r="A962" s="136"/>
      <c r="B962" s="143"/>
      <c r="C962" s="143"/>
      <c r="D962" s="143"/>
      <c r="E962" s="143"/>
      <c r="F962" s="143"/>
      <c r="G962" s="143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</row>
    <row r="963" spans="1:19" ht="19.5">
      <c r="A963" s="136"/>
      <c r="B963" s="143"/>
      <c r="C963" s="143"/>
      <c r="D963" s="143"/>
      <c r="E963" s="143"/>
      <c r="F963" s="143"/>
      <c r="G963" s="143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</row>
    <row r="964" spans="1:19" ht="19.5">
      <c r="A964" s="136"/>
      <c r="B964" s="143"/>
      <c r="C964" s="143"/>
      <c r="D964" s="143"/>
      <c r="E964" s="143"/>
      <c r="F964" s="143"/>
      <c r="G964" s="143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</row>
    <row r="965" spans="1:19" ht="19.5">
      <c r="A965" s="136"/>
      <c r="B965" s="143"/>
      <c r="C965" s="143"/>
      <c r="D965" s="143"/>
      <c r="E965" s="143"/>
      <c r="F965" s="143"/>
      <c r="G965" s="143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</row>
    <row r="966" spans="1:19" ht="19.5">
      <c r="A966" s="136"/>
      <c r="B966" s="143"/>
      <c r="C966" s="143"/>
      <c r="D966" s="143"/>
      <c r="E966" s="143"/>
      <c r="F966" s="143"/>
      <c r="G966" s="143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</row>
    <row r="967" spans="1:19" ht="19.5">
      <c r="A967" s="136"/>
      <c r="B967" s="143"/>
      <c r="C967" s="143"/>
      <c r="D967" s="143"/>
      <c r="E967" s="143"/>
      <c r="F967" s="143"/>
      <c r="G967" s="143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</row>
    <row r="968" spans="1:19" ht="19.5">
      <c r="A968" s="136"/>
      <c r="B968" s="143"/>
      <c r="C968" s="143"/>
      <c r="D968" s="143"/>
      <c r="E968" s="143"/>
      <c r="F968" s="143"/>
      <c r="G968" s="143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</row>
    <row r="969" spans="1:19" ht="19.5">
      <c r="A969" s="136"/>
      <c r="B969" s="143"/>
      <c r="C969" s="143"/>
      <c r="D969" s="143"/>
      <c r="E969" s="143"/>
      <c r="F969" s="143"/>
      <c r="G969" s="143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</row>
    <row r="970" spans="1:19" ht="19.5">
      <c r="A970" s="136"/>
      <c r="B970" s="143"/>
      <c r="C970" s="143"/>
      <c r="D970" s="143"/>
      <c r="E970" s="143"/>
      <c r="F970" s="143"/>
      <c r="G970" s="143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</row>
    <row r="971" spans="1:19" ht="19.5">
      <c r="A971" s="136"/>
      <c r="B971" s="143"/>
      <c r="C971" s="143"/>
      <c r="D971" s="143"/>
      <c r="E971" s="143"/>
      <c r="F971" s="143"/>
      <c r="G971" s="143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</row>
    <row r="972" spans="1:19" ht="19.5">
      <c r="A972" s="136"/>
      <c r="B972" s="143"/>
      <c r="C972" s="143"/>
      <c r="D972" s="143"/>
      <c r="E972" s="143"/>
      <c r="F972" s="143"/>
      <c r="G972" s="143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</row>
    <row r="973" spans="1:19" ht="19.5">
      <c r="A973" s="136"/>
      <c r="B973" s="143"/>
      <c r="C973" s="143"/>
      <c r="D973" s="143"/>
      <c r="E973" s="143"/>
      <c r="F973" s="143"/>
      <c r="G973" s="143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</row>
    <row r="974" spans="1:19" ht="19.5">
      <c r="A974" s="136"/>
      <c r="B974" s="143"/>
      <c r="C974" s="143"/>
      <c r="D974" s="143"/>
      <c r="E974" s="143"/>
      <c r="F974" s="143"/>
      <c r="G974" s="143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</row>
    <row r="975" spans="1:19" ht="19.5">
      <c r="A975" s="136"/>
      <c r="B975" s="143"/>
      <c r="C975" s="143"/>
      <c r="D975" s="143"/>
      <c r="E975" s="143"/>
      <c r="F975" s="143"/>
      <c r="G975" s="143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</row>
    <row r="976" spans="1:19" ht="19.5">
      <c r="A976" s="136"/>
      <c r="B976" s="143"/>
      <c r="C976" s="143"/>
      <c r="D976" s="143"/>
      <c r="E976" s="143"/>
      <c r="F976" s="143"/>
      <c r="G976" s="143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</row>
    <row r="977" spans="1:19" ht="19.5">
      <c r="A977" s="136"/>
      <c r="B977" s="143"/>
      <c r="C977" s="143"/>
      <c r="D977" s="143"/>
      <c r="E977" s="143"/>
      <c r="F977" s="143"/>
      <c r="G977" s="143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</row>
    <row r="978" spans="1:19" ht="19.5">
      <c r="A978" s="136"/>
      <c r="B978" s="143"/>
      <c r="C978" s="143"/>
      <c r="D978" s="143"/>
      <c r="E978" s="143"/>
      <c r="F978" s="143"/>
      <c r="G978" s="143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</row>
    <row r="979" spans="1:19" ht="19.5">
      <c r="A979" s="136"/>
      <c r="B979" s="143"/>
      <c r="C979" s="143"/>
      <c r="D979" s="143"/>
      <c r="E979" s="143"/>
      <c r="F979" s="143"/>
      <c r="G979" s="143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</row>
    <row r="980" spans="1:19" ht="19.5">
      <c r="A980" s="136"/>
      <c r="B980" s="143"/>
      <c r="C980" s="143"/>
      <c r="D980" s="143"/>
      <c r="E980" s="143"/>
      <c r="F980" s="143"/>
      <c r="G980" s="143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</row>
    <row r="981" spans="1:19" ht="19.5">
      <c r="A981" s="136"/>
      <c r="B981" s="143"/>
      <c r="C981" s="143"/>
      <c r="D981" s="143"/>
      <c r="E981" s="143"/>
      <c r="F981" s="143"/>
      <c r="G981" s="143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</row>
    <row r="982" spans="1:19" ht="19.5">
      <c r="A982" s="136"/>
      <c r="B982" s="143"/>
      <c r="C982" s="143"/>
      <c r="D982" s="143"/>
      <c r="E982" s="143"/>
      <c r="F982" s="143"/>
      <c r="G982" s="143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</row>
    <row r="983" spans="1:19" ht="19.5">
      <c r="A983" s="136"/>
      <c r="B983" s="143"/>
      <c r="C983" s="143"/>
      <c r="D983" s="143"/>
      <c r="E983" s="143"/>
      <c r="F983" s="143"/>
      <c r="G983" s="143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</row>
    <row r="984" spans="1:19" ht="19.5">
      <c r="A984" s="136"/>
      <c r="B984" s="143"/>
      <c r="C984" s="143"/>
      <c r="D984" s="143"/>
      <c r="E984" s="143"/>
      <c r="F984" s="143"/>
      <c r="G984" s="143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</row>
    <row r="985" spans="1:19" ht="19.5">
      <c r="A985" s="136"/>
      <c r="B985" s="143"/>
      <c r="C985" s="143"/>
      <c r="D985" s="143"/>
      <c r="E985" s="143"/>
      <c r="F985" s="143"/>
      <c r="G985" s="143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</row>
    <row r="986" spans="1:19" ht="19.5">
      <c r="A986" s="136"/>
      <c r="B986" s="143"/>
      <c r="C986" s="143"/>
      <c r="D986" s="143"/>
      <c r="E986" s="143"/>
      <c r="F986" s="143"/>
      <c r="G986" s="143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</row>
    <row r="987" spans="1:19" ht="19.5">
      <c r="A987" s="136"/>
      <c r="B987" s="143"/>
      <c r="C987" s="143"/>
      <c r="D987" s="143"/>
      <c r="E987" s="143"/>
      <c r="F987" s="143"/>
      <c r="G987" s="143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</row>
    <row r="988" spans="1:19" ht="19.5">
      <c r="A988" s="136"/>
      <c r="B988" s="143"/>
      <c r="C988" s="143"/>
      <c r="D988" s="143"/>
      <c r="E988" s="143"/>
      <c r="F988" s="143"/>
      <c r="G988" s="143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</row>
    <row r="989" spans="1:19" ht="19.5">
      <c r="A989" s="136"/>
      <c r="B989" s="143"/>
      <c r="C989" s="143"/>
      <c r="D989" s="143"/>
      <c r="E989" s="143"/>
      <c r="F989" s="143"/>
      <c r="G989" s="143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</row>
    <row r="990" spans="1:19" ht="19.5">
      <c r="A990" s="136"/>
      <c r="B990" s="143"/>
      <c r="C990" s="143"/>
      <c r="D990" s="143"/>
      <c r="E990" s="143"/>
      <c r="F990" s="143"/>
      <c r="G990" s="143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</row>
    <row r="991" spans="1:19" ht="19.5">
      <c r="A991" s="136"/>
      <c r="B991" s="143"/>
      <c r="C991" s="143"/>
      <c r="D991" s="143"/>
      <c r="E991" s="143"/>
      <c r="F991" s="143"/>
      <c r="G991" s="143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</row>
    <row r="992" spans="1:19" ht="19.5">
      <c r="A992" s="136"/>
      <c r="B992" s="143"/>
      <c r="C992" s="143"/>
      <c r="D992" s="143"/>
      <c r="E992" s="143"/>
      <c r="F992" s="143"/>
      <c r="G992" s="143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</row>
    <row r="993" spans="1:19" ht="19.5">
      <c r="A993" s="136"/>
      <c r="B993" s="143"/>
      <c r="C993" s="143"/>
      <c r="D993" s="143"/>
      <c r="E993" s="143"/>
      <c r="F993" s="143"/>
      <c r="G993" s="143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</row>
    <row r="994" spans="1:19" ht="19.5">
      <c r="A994" s="136"/>
      <c r="B994" s="143"/>
      <c r="C994" s="143"/>
      <c r="D994" s="143"/>
      <c r="E994" s="143"/>
      <c r="F994" s="143"/>
      <c r="G994" s="143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</row>
    <row r="995" spans="1:19" ht="19.5">
      <c r="A995" s="136"/>
      <c r="B995" s="143"/>
      <c r="C995" s="143"/>
      <c r="D995" s="143"/>
      <c r="E995" s="143"/>
      <c r="F995" s="143"/>
      <c r="G995" s="143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</row>
    <row r="996" spans="1:19" ht="19.5">
      <c r="A996" s="136"/>
      <c r="B996" s="143"/>
      <c r="C996" s="143"/>
      <c r="D996" s="143"/>
      <c r="E996" s="143"/>
      <c r="F996" s="143"/>
      <c r="G996" s="143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</row>
    <row r="997" spans="1:19" ht="19.5">
      <c r="A997" s="136"/>
      <c r="B997" s="143"/>
      <c r="C997" s="143"/>
      <c r="D997" s="143"/>
      <c r="E997" s="143"/>
      <c r="F997" s="143"/>
      <c r="G997" s="143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</row>
    <row r="998" spans="1:19" ht="19.5">
      <c r="A998" s="136"/>
      <c r="B998" s="143"/>
      <c r="C998" s="143"/>
      <c r="D998" s="143"/>
      <c r="E998" s="143"/>
      <c r="F998" s="143"/>
      <c r="G998" s="143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</row>
    <row r="999" spans="1:19" ht="19.5">
      <c r="A999" s="136"/>
      <c r="B999" s="143"/>
      <c r="C999" s="143"/>
      <c r="D999" s="143"/>
      <c r="E999" s="143"/>
      <c r="F999" s="143"/>
      <c r="G999" s="143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</row>
    <row r="1000" spans="1:19" ht="19.5">
      <c r="A1000" s="136"/>
      <c r="B1000" s="143"/>
      <c r="C1000" s="143"/>
      <c r="D1000" s="143"/>
      <c r="E1000" s="143"/>
      <c r="F1000" s="143"/>
      <c r="G1000" s="143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</row>
    <row r="1001" spans="1:19" ht="19.5">
      <c r="A1001" s="136"/>
      <c r="B1001" s="143"/>
      <c r="C1001" s="143"/>
      <c r="D1001" s="143"/>
      <c r="E1001" s="143"/>
      <c r="F1001" s="143"/>
      <c r="G1001" s="143"/>
      <c r="H1001" s="136"/>
      <c r="I1001" s="136"/>
      <c r="J1001" s="136"/>
      <c r="K1001" s="136"/>
      <c r="L1001" s="136"/>
      <c r="M1001" s="136"/>
      <c r="N1001" s="136"/>
      <c r="O1001" s="136"/>
      <c r="P1001" s="136"/>
      <c r="Q1001" s="136"/>
      <c r="R1001" s="136"/>
      <c r="S1001" s="136"/>
    </row>
    <row r="1002" spans="1:19" ht="19.5">
      <c r="A1002" s="136"/>
      <c r="B1002" s="143"/>
      <c r="C1002" s="143"/>
      <c r="D1002" s="143"/>
      <c r="E1002" s="143"/>
      <c r="F1002" s="143"/>
      <c r="G1002" s="143"/>
      <c r="H1002" s="136"/>
      <c r="I1002" s="136"/>
      <c r="J1002" s="136"/>
      <c r="K1002" s="136"/>
      <c r="L1002" s="136"/>
      <c r="M1002" s="136"/>
      <c r="N1002" s="136"/>
      <c r="O1002" s="136"/>
      <c r="P1002" s="136"/>
      <c r="Q1002" s="136"/>
      <c r="R1002" s="136"/>
      <c r="S1002" s="136"/>
    </row>
    <row r="1003" spans="1:19" ht="19.5">
      <c r="A1003" s="136"/>
      <c r="B1003" s="143"/>
      <c r="C1003" s="143"/>
      <c r="D1003" s="143"/>
      <c r="E1003" s="143"/>
      <c r="F1003" s="143"/>
      <c r="G1003" s="143"/>
      <c r="H1003" s="136"/>
      <c r="I1003" s="136"/>
      <c r="J1003" s="136"/>
      <c r="K1003" s="136"/>
      <c r="L1003" s="136"/>
      <c r="M1003" s="136"/>
      <c r="N1003" s="136"/>
      <c r="O1003" s="136"/>
      <c r="P1003" s="136"/>
      <c r="Q1003" s="136"/>
      <c r="R1003" s="136"/>
      <c r="S1003" s="136"/>
    </row>
    <row r="1004" spans="1:19" ht="19.5">
      <c r="A1004" s="136"/>
      <c r="B1004" s="143"/>
      <c r="C1004" s="143"/>
      <c r="D1004" s="143"/>
      <c r="E1004" s="143"/>
      <c r="F1004" s="143"/>
      <c r="G1004" s="143"/>
      <c r="H1004" s="136"/>
      <c r="I1004" s="136"/>
      <c r="J1004" s="136"/>
      <c r="K1004" s="136"/>
      <c r="L1004" s="136"/>
      <c r="M1004" s="136"/>
      <c r="N1004" s="136"/>
      <c r="O1004" s="136"/>
      <c r="P1004" s="136"/>
      <c r="Q1004" s="136"/>
      <c r="R1004" s="136"/>
      <c r="S1004" s="136"/>
    </row>
    <row r="1005" spans="1:19" ht="19.5">
      <c r="A1005" s="136"/>
      <c r="B1005" s="143"/>
      <c r="C1005" s="143"/>
      <c r="D1005" s="143"/>
      <c r="E1005" s="143"/>
      <c r="F1005" s="143"/>
      <c r="G1005" s="143"/>
      <c r="H1005" s="136"/>
      <c r="I1005" s="136"/>
      <c r="J1005" s="136"/>
      <c r="K1005" s="136"/>
      <c r="L1005" s="136"/>
      <c r="M1005" s="136"/>
      <c r="N1005" s="136"/>
      <c r="O1005" s="136"/>
      <c r="P1005" s="136"/>
      <c r="Q1005" s="136"/>
      <c r="R1005" s="136"/>
      <c r="S1005" s="136"/>
    </row>
    <row r="1006" spans="1:19" ht="19.5">
      <c r="A1006" s="136"/>
      <c r="B1006" s="143"/>
      <c r="C1006" s="143"/>
      <c r="D1006" s="143"/>
      <c r="E1006" s="143"/>
      <c r="F1006" s="143"/>
      <c r="G1006" s="143"/>
      <c r="H1006" s="136"/>
      <c r="I1006" s="136"/>
      <c r="J1006" s="136"/>
      <c r="K1006" s="136"/>
      <c r="L1006" s="136"/>
      <c r="M1006" s="136"/>
      <c r="N1006" s="136"/>
      <c r="O1006" s="136"/>
      <c r="P1006" s="136"/>
      <c r="Q1006" s="136"/>
      <c r="R1006" s="136"/>
      <c r="S1006" s="136"/>
    </row>
    <row r="1007" spans="1:19" ht="19.5">
      <c r="A1007" s="136"/>
      <c r="B1007" s="143"/>
      <c r="C1007" s="143"/>
      <c r="D1007" s="143"/>
      <c r="E1007" s="143"/>
      <c r="F1007" s="143"/>
      <c r="G1007" s="143"/>
      <c r="H1007" s="136"/>
      <c r="I1007" s="136"/>
      <c r="J1007" s="136"/>
      <c r="K1007" s="136"/>
      <c r="L1007" s="136"/>
      <c r="M1007" s="136"/>
      <c r="N1007" s="136"/>
      <c r="O1007" s="136"/>
      <c r="P1007" s="136"/>
      <c r="Q1007" s="136"/>
      <c r="R1007" s="136"/>
      <c r="S1007" s="136"/>
    </row>
    <row r="1008" spans="1:19" ht="19.5">
      <c r="A1008" s="136"/>
      <c r="B1008" s="143"/>
      <c r="C1008" s="143"/>
      <c r="D1008" s="143"/>
      <c r="E1008" s="143"/>
      <c r="F1008" s="143"/>
      <c r="G1008" s="143"/>
      <c r="H1008" s="136"/>
      <c r="I1008" s="136"/>
      <c r="J1008" s="136"/>
      <c r="K1008" s="136"/>
      <c r="L1008" s="136"/>
      <c r="M1008" s="136"/>
      <c r="N1008" s="136"/>
      <c r="O1008" s="136"/>
      <c r="P1008" s="136"/>
      <c r="Q1008" s="136"/>
      <c r="R1008" s="136"/>
      <c r="S1008" s="136"/>
    </row>
    <row r="1009" spans="1:19" ht="19.5">
      <c r="A1009" s="136"/>
      <c r="B1009" s="143"/>
      <c r="C1009" s="143"/>
      <c r="D1009" s="143"/>
      <c r="E1009" s="143"/>
      <c r="F1009" s="143"/>
      <c r="G1009" s="143"/>
      <c r="H1009" s="136"/>
      <c r="I1009" s="136"/>
      <c r="J1009" s="136"/>
      <c r="K1009" s="136"/>
      <c r="L1009" s="136"/>
      <c r="M1009" s="136"/>
      <c r="N1009" s="136"/>
      <c r="O1009" s="136"/>
      <c r="P1009" s="136"/>
      <c r="Q1009" s="136"/>
      <c r="R1009" s="136"/>
      <c r="S1009" s="136"/>
    </row>
    <row r="1010" spans="1:19" ht="19.5">
      <c r="A1010" s="136"/>
      <c r="B1010" s="143"/>
      <c r="C1010" s="143"/>
      <c r="D1010" s="143"/>
      <c r="E1010" s="143"/>
      <c r="F1010" s="143"/>
      <c r="G1010" s="143"/>
      <c r="H1010" s="136"/>
      <c r="I1010" s="136"/>
      <c r="J1010" s="136"/>
      <c r="K1010" s="136"/>
      <c r="L1010" s="136"/>
      <c r="M1010" s="136"/>
      <c r="N1010" s="136"/>
      <c r="O1010" s="136"/>
      <c r="P1010" s="136"/>
      <c r="Q1010" s="136"/>
      <c r="R1010" s="136"/>
      <c r="S1010" s="136"/>
    </row>
    <row r="1011" spans="1:19" ht="19.5">
      <c r="A1011" s="136"/>
      <c r="B1011" s="143"/>
      <c r="C1011" s="143"/>
      <c r="D1011" s="143"/>
      <c r="E1011" s="143"/>
      <c r="F1011" s="143"/>
      <c r="G1011" s="143"/>
      <c r="H1011" s="136"/>
      <c r="I1011" s="136"/>
      <c r="J1011" s="136"/>
      <c r="K1011" s="136"/>
      <c r="L1011" s="136"/>
      <c r="M1011" s="136"/>
      <c r="N1011" s="136"/>
      <c r="O1011" s="136"/>
      <c r="P1011" s="136"/>
      <c r="Q1011" s="136"/>
      <c r="R1011" s="136"/>
      <c r="S1011" s="136"/>
    </row>
    <row r="1012" spans="1:19" ht="19.5">
      <c r="A1012" s="136"/>
      <c r="B1012" s="143"/>
      <c r="C1012" s="143"/>
      <c r="D1012" s="143"/>
      <c r="E1012" s="143"/>
      <c r="F1012" s="143"/>
      <c r="G1012" s="143"/>
      <c r="H1012" s="136"/>
      <c r="I1012" s="136"/>
      <c r="J1012" s="136"/>
      <c r="K1012" s="136"/>
      <c r="L1012" s="136"/>
      <c r="M1012" s="136"/>
      <c r="N1012" s="136"/>
      <c r="O1012" s="136"/>
      <c r="P1012" s="136"/>
      <c r="Q1012" s="136"/>
      <c r="R1012" s="136"/>
      <c r="S1012" s="136"/>
    </row>
    <row r="1013" spans="1:19" ht="19.5">
      <c r="A1013" s="136"/>
      <c r="B1013" s="143"/>
      <c r="C1013" s="143"/>
      <c r="D1013" s="143"/>
      <c r="E1013" s="143"/>
      <c r="F1013" s="143"/>
      <c r="G1013" s="143"/>
      <c r="H1013" s="136"/>
      <c r="I1013" s="136"/>
      <c r="J1013" s="136"/>
      <c r="K1013" s="136"/>
      <c r="L1013" s="136"/>
      <c r="M1013" s="136"/>
      <c r="N1013" s="136"/>
      <c r="O1013" s="136"/>
      <c r="P1013" s="136"/>
      <c r="Q1013" s="136"/>
      <c r="R1013" s="136"/>
      <c r="S1013" s="136"/>
    </row>
    <row r="1014" spans="1:19" ht="19.5">
      <c r="A1014" s="136"/>
      <c r="B1014" s="143"/>
      <c r="C1014" s="143"/>
      <c r="D1014" s="143"/>
      <c r="E1014" s="143"/>
      <c r="F1014" s="143"/>
      <c r="G1014" s="143"/>
      <c r="H1014" s="136"/>
      <c r="I1014" s="136"/>
      <c r="J1014" s="136"/>
      <c r="K1014" s="136"/>
      <c r="L1014" s="136"/>
      <c r="M1014" s="136"/>
      <c r="N1014" s="136"/>
      <c r="O1014" s="136"/>
      <c r="P1014" s="136"/>
      <c r="Q1014" s="136"/>
      <c r="R1014" s="136"/>
      <c r="S1014" s="136"/>
    </row>
    <row r="1015" spans="1:19" ht="19.5">
      <c r="A1015" s="136"/>
      <c r="B1015" s="143"/>
      <c r="C1015" s="143"/>
      <c r="D1015" s="143"/>
      <c r="E1015" s="143"/>
      <c r="F1015" s="143"/>
      <c r="G1015" s="143"/>
      <c r="H1015" s="136"/>
      <c r="I1015" s="136"/>
      <c r="J1015" s="136"/>
      <c r="K1015" s="136"/>
      <c r="L1015" s="136"/>
      <c r="M1015" s="136"/>
      <c r="N1015" s="136"/>
      <c r="O1015" s="136"/>
      <c r="P1015" s="136"/>
      <c r="Q1015" s="136"/>
      <c r="R1015" s="136"/>
      <c r="S1015" s="136"/>
    </row>
    <row r="1016" spans="1:19" ht="19.5">
      <c r="A1016" s="136"/>
      <c r="B1016" s="143"/>
      <c r="C1016" s="143"/>
      <c r="D1016" s="143"/>
      <c r="E1016" s="143"/>
      <c r="F1016" s="143"/>
      <c r="G1016" s="143"/>
      <c r="H1016" s="136"/>
      <c r="I1016" s="136"/>
      <c r="J1016" s="136"/>
      <c r="K1016" s="136"/>
      <c r="L1016" s="136"/>
      <c r="M1016" s="136"/>
      <c r="N1016" s="136"/>
      <c r="O1016" s="136"/>
      <c r="P1016" s="136"/>
      <c r="Q1016" s="136"/>
      <c r="R1016" s="136"/>
      <c r="S1016" s="136"/>
    </row>
    <row r="1017" spans="1:19" ht="19.5">
      <c r="A1017" s="136"/>
      <c r="B1017" s="143"/>
      <c r="C1017" s="143"/>
      <c r="D1017" s="143"/>
      <c r="E1017" s="143"/>
      <c r="F1017" s="143"/>
      <c r="G1017" s="143"/>
      <c r="H1017" s="136"/>
      <c r="I1017" s="136"/>
      <c r="J1017" s="136"/>
      <c r="K1017" s="136"/>
      <c r="L1017" s="136"/>
      <c r="M1017" s="136"/>
      <c r="N1017" s="136"/>
      <c r="O1017" s="136"/>
      <c r="P1017" s="136"/>
      <c r="Q1017" s="136"/>
      <c r="R1017" s="136"/>
      <c r="S1017" s="136"/>
    </row>
    <row r="1018" spans="1:19" ht="19.5">
      <c r="A1018" s="136"/>
      <c r="B1018" s="143"/>
      <c r="C1018" s="143"/>
      <c r="D1018" s="143"/>
      <c r="E1018" s="143"/>
      <c r="F1018" s="143"/>
      <c r="G1018" s="143"/>
      <c r="H1018" s="136"/>
      <c r="I1018" s="136"/>
      <c r="J1018" s="136"/>
      <c r="K1018" s="136"/>
      <c r="L1018" s="136"/>
      <c r="M1018" s="136"/>
      <c r="N1018" s="136"/>
      <c r="O1018" s="136"/>
      <c r="P1018" s="136"/>
      <c r="Q1018" s="136"/>
      <c r="R1018" s="136"/>
      <c r="S1018" s="136"/>
    </row>
    <row r="1019" spans="1:19" ht="19.5">
      <c r="A1019" s="136"/>
      <c r="B1019" s="143"/>
      <c r="C1019" s="143"/>
      <c r="D1019" s="143"/>
      <c r="E1019" s="143"/>
      <c r="F1019" s="143"/>
      <c r="G1019" s="143"/>
      <c r="H1019" s="136"/>
      <c r="I1019" s="136"/>
      <c r="J1019" s="136"/>
      <c r="K1019" s="136"/>
      <c r="L1019" s="136"/>
      <c r="M1019" s="136"/>
      <c r="N1019" s="136"/>
      <c r="O1019" s="136"/>
      <c r="P1019" s="136"/>
      <c r="Q1019" s="136"/>
      <c r="R1019" s="136"/>
      <c r="S1019" s="136"/>
    </row>
    <row r="1020" spans="1:19" ht="19.5">
      <c r="A1020" s="136"/>
      <c r="B1020" s="143"/>
      <c r="C1020" s="143"/>
      <c r="D1020" s="143"/>
      <c r="E1020" s="143"/>
      <c r="F1020" s="143"/>
      <c r="G1020" s="143"/>
      <c r="H1020" s="136"/>
      <c r="I1020" s="136"/>
      <c r="J1020" s="136"/>
      <c r="K1020" s="136"/>
      <c r="L1020" s="136"/>
      <c r="M1020" s="136"/>
      <c r="N1020" s="136"/>
      <c r="O1020" s="136"/>
      <c r="P1020" s="136"/>
      <c r="Q1020" s="136"/>
      <c r="R1020" s="136"/>
      <c r="S1020" s="136"/>
    </row>
    <row r="1021" spans="1:19" ht="19.5">
      <c r="A1021" s="136"/>
      <c r="B1021" s="143"/>
      <c r="C1021" s="143"/>
      <c r="D1021" s="143"/>
      <c r="E1021" s="143"/>
      <c r="F1021" s="143"/>
      <c r="G1021" s="143"/>
      <c r="H1021" s="136"/>
      <c r="I1021" s="136"/>
      <c r="J1021" s="136"/>
      <c r="K1021" s="136"/>
      <c r="L1021" s="136"/>
      <c r="M1021" s="136"/>
      <c r="N1021" s="136"/>
      <c r="O1021" s="136"/>
      <c r="P1021" s="136"/>
      <c r="Q1021" s="136"/>
      <c r="R1021" s="136"/>
      <c r="S1021" s="136"/>
    </row>
    <row r="1022" spans="1:19" ht="19.5">
      <c r="A1022" s="136"/>
      <c r="B1022" s="143"/>
      <c r="C1022" s="143"/>
      <c r="D1022" s="143"/>
      <c r="E1022" s="143"/>
      <c r="F1022" s="143"/>
      <c r="G1022" s="143"/>
      <c r="H1022" s="136"/>
      <c r="I1022" s="136"/>
      <c r="J1022" s="136"/>
      <c r="K1022" s="136"/>
      <c r="L1022" s="136"/>
      <c r="M1022" s="136"/>
      <c r="N1022" s="136"/>
      <c r="O1022" s="136"/>
      <c r="P1022" s="136"/>
      <c r="Q1022" s="136"/>
      <c r="R1022" s="136"/>
      <c r="S1022" s="136"/>
    </row>
    <row r="1023" spans="1:19" ht="19.5">
      <c r="A1023" s="136"/>
      <c r="B1023" s="143"/>
      <c r="C1023" s="143"/>
      <c r="D1023" s="143"/>
      <c r="E1023" s="143"/>
      <c r="F1023" s="143"/>
      <c r="G1023" s="143"/>
      <c r="H1023" s="136"/>
      <c r="I1023" s="136"/>
      <c r="J1023" s="136"/>
      <c r="K1023" s="136"/>
      <c r="L1023" s="136"/>
      <c r="M1023" s="136"/>
      <c r="N1023" s="136"/>
      <c r="O1023" s="136"/>
      <c r="P1023" s="136"/>
      <c r="Q1023" s="136"/>
      <c r="R1023" s="136"/>
      <c r="S1023" s="136"/>
    </row>
    <row r="1024" spans="1:19" ht="19.5">
      <c r="A1024" s="136"/>
      <c r="B1024" s="143"/>
      <c r="C1024" s="143"/>
      <c r="D1024" s="143"/>
      <c r="E1024" s="143"/>
      <c r="F1024" s="143"/>
      <c r="G1024" s="143"/>
      <c r="H1024" s="136"/>
      <c r="I1024" s="136"/>
      <c r="J1024" s="136"/>
      <c r="K1024" s="136"/>
      <c r="L1024" s="136"/>
      <c r="M1024" s="136"/>
      <c r="N1024" s="136"/>
      <c r="O1024" s="136"/>
      <c r="P1024" s="136"/>
      <c r="Q1024" s="136"/>
      <c r="R1024" s="136"/>
      <c r="S1024" s="136"/>
    </row>
    <row r="1025" spans="1:19" ht="19.5">
      <c r="A1025" s="136"/>
      <c r="B1025" s="143"/>
      <c r="C1025" s="143"/>
      <c r="D1025" s="143"/>
      <c r="E1025" s="143"/>
      <c r="F1025" s="143"/>
      <c r="G1025" s="143"/>
      <c r="H1025" s="136"/>
      <c r="I1025" s="136"/>
      <c r="J1025" s="136"/>
      <c r="K1025" s="136"/>
      <c r="L1025" s="136"/>
      <c r="M1025" s="136"/>
      <c r="N1025" s="136"/>
      <c r="O1025" s="136"/>
      <c r="P1025" s="136"/>
      <c r="Q1025" s="136"/>
      <c r="R1025" s="136"/>
      <c r="S1025" s="136"/>
    </row>
    <row r="1026" spans="1:19" ht="19.5">
      <c r="A1026" s="136"/>
      <c r="B1026" s="143"/>
      <c r="C1026" s="143"/>
      <c r="D1026" s="143"/>
      <c r="E1026" s="143"/>
      <c r="F1026" s="143"/>
      <c r="G1026" s="143"/>
      <c r="H1026" s="136"/>
      <c r="I1026" s="136"/>
      <c r="J1026" s="136"/>
      <c r="K1026" s="136"/>
      <c r="L1026" s="136"/>
      <c r="M1026" s="136"/>
      <c r="N1026" s="136"/>
      <c r="O1026" s="136"/>
      <c r="P1026" s="136"/>
      <c r="Q1026" s="136"/>
      <c r="R1026" s="136"/>
      <c r="S1026" s="136"/>
    </row>
    <row r="1027" spans="1:19" ht="19.5">
      <c r="A1027" s="136"/>
      <c r="B1027" s="143"/>
      <c r="C1027" s="143"/>
      <c r="D1027" s="143"/>
      <c r="E1027" s="143"/>
      <c r="F1027" s="143"/>
      <c r="G1027" s="143"/>
      <c r="H1027" s="136"/>
      <c r="I1027" s="136"/>
      <c r="J1027" s="136"/>
      <c r="K1027" s="136"/>
      <c r="L1027" s="136"/>
      <c r="M1027" s="136"/>
      <c r="N1027" s="136"/>
      <c r="O1027" s="136"/>
      <c r="P1027" s="136"/>
      <c r="Q1027" s="136"/>
      <c r="R1027" s="136"/>
      <c r="S1027" s="136"/>
    </row>
    <row r="1028" spans="1:19" ht="19.5">
      <c r="A1028" s="136"/>
      <c r="B1028" s="143"/>
      <c r="C1028" s="143"/>
      <c r="D1028" s="143"/>
      <c r="E1028" s="143"/>
      <c r="F1028" s="143"/>
      <c r="G1028" s="143"/>
      <c r="H1028" s="136"/>
      <c r="I1028" s="136"/>
      <c r="J1028" s="136"/>
      <c r="K1028" s="136"/>
      <c r="L1028" s="136"/>
      <c r="M1028" s="136"/>
      <c r="N1028" s="136"/>
      <c r="O1028" s="136"/>
      <c r="P1028" s="136"/>
      <c r="Q1028" s="136"/>
      <c r="R1028" s="136"/>
      <c r="S1028" s="136"/>
    </row>
    <row r="1029" spans="1:19" ht="19.5">
      <c r="A1029" s="136"/>
      <c r="B1029" s="143"/>
      <c r="C1029" s="143"/>
      <c r="D1029" s="143"/>
      <c r="E1029" s="143"/>
      <c r="F1029" s="143"/>
      <c r="G1029" s="143"/>
      <c r="H1029" s="136"/>
      <c r="I1029" s="136"/>
      <c r="J1029" s="136"/>
      <c r="K1029" s="136"/>
      <c r="L1029" s="136"/>
      <c r="M1029" s="136"/>
      <c r="N1029" s="136"/>
      <c r="O1029" s="136"/>
      <c r="P1029" s="136"/>
      <c r="Q1029" s="136"/>
      <c r="R1029" s="136"/>
      <c r="S1029" s="136"/>
    </row>
    <row r="1030" spans="1:19" ht="19.5">
      <c r="A1030" s="136"/>
      <c r="B1030" s="143"/>
      <c r="C1030" s="143"/>
      <c r="D1030" s="143"/>
      <c r="E1030" s="143"/>
      <c r="F1030" s="143"/>
      <c r="G1030" s="143"/>
      <c r="H1030" s="136"/>
      <c r="I1030" s="136"/>
      <c r="J1030" s="136"/>
      <c r="K1030" s="136"/>
      <c r="L1030" s="136"/>
      <c r="M1030" s="136"/>
      <c r="N1030" s="136"/>
      <c r="O1030" s="136"/>
      <c r="P1030" s="136"/>
      <c r="Q1030" s="136"/>
      <c r="R1030" s="136"/>
      <c r="S1030" s="136"/>
    </row>
    <row r="1031" spans="1:19" ht="19.5">
      <c r="A1031" s="136"/>
      <c r="B1031" s="143"/>
      <c r="C1031" s="143"/>
      <c r="D1031" s="143"/>
      <c r="E1031" s="143"/>
      <c r="F1031" s="143"/>
      <c r="G1031" s="143"/>
      <c r="H1031" s="136"/>
      <c r="I1031" s="136"/>
      <c r="J1031" s="136"/>
      <c r="K1031" s="136"/>
      <c r="L1031" s="136"/>
      <c r="M1031" s="136"/>
      <c r="N1031" s="136"/>
      <c r="O1031" s="136"/>
      <c r="P1031" s="136"/>
      <c r="Q1031" s="136"/>
      <c r="R1031" s="136"/>
      <c r="S1031" s="136"/>
    </row>
    <row r="1032" spans="1:19" ht="19.5">
      <c r="A1032" s="136"/>
      <c r="B1032" s="143"/>
      <c r="C1032" s="143"/>
      <c r="D1032" s="143"/>
      <c r="E1032" s="143"/>
      <c r="F1032" s="143"/>
      <c r="G1032" s="143"/>
      <c r="H1032" s="136"/>
      <c r="I1032" s="136"/>
      <c r="J1032" s="136"/>
      <c r="K1032" s="136"/>
      <c r="L1032" s="136"/>
      <c r="M1032" s="136"/>
      <c r="N1032" s="136"/>
      <c r="O1032" s="136"/>
      <c r="P1032" s="136"/>
      <c r="Q1032" s="136"/>
      <c r="R1032" s="136"/>
      <c r="S1032" s="136"/>
    </row>
    <row r="1033" spans="1:19" ht="19.5">
      <c r="A1033" s="136"/>
      <c r="B1033" s="143"/>
      <c r="C1033" s="143"/>
      <c r="D1033" s="143"/>
      <c r="E1033" s="143"/>
      <c r="F1033" s="143"/>
      <c r="G1033" s="143"/>
      <c r="H1033" s="136"/>
      <c r="I1033" s="136"/>
      <c r="J1033" s="136"/>
      <c r="K1033" s="136"/>
      <c r="L1033" s="136"/>
      <c r="M1033" s="136"/>
      <c r="N1033" s="136"/>
      <c r="O1033" s="136"/>
      <c r="P1033" s="136"/>
      <c r="Q1033" s="136"/>
      <c r="R1033" s="136"/>
      <c r="S1033" s="136"/>
    </row>
  </sheetData>
  <autoFilter ref="B6:R34" xr:uid="{00000000-0009-0000-0000-000003000000}"/>
  <mergeCells count="1">
    <mergeCell ref="B2:G2"/>
  </mergeCells>
  <conditionalFormatting sqref="C7:C12 F7:G12 C14:C17 F14:G17 C19:C30 F19:G30">
    <cfRule type="containsText" dxfId="19" priority="1" operator="containsText" text="Completed">
      <formula>NOT(ISERROR(SEARCH(("Completed"),(C7))))</formula>
    </cfRule>
    <cfRule type="containsText" dxfId="18" priority="2" operator="containsText" text="Confirmed">
      <formula>NOT(ISERROR(SEARCH(("Confirmed"),(C7))))</formula>
    </cfRule>
    <cfRule type="containsText" dxfId="17" priority="3" operator="containsText" text="Pending">
      <formula>NOT(ISERROR(SEARCH(("Pending"),(C7))))</formula>
    </cfRule>
    <cfRule type="containsText" dxfId="16" priority="4" operator="containsText" text="Rescheduled">
      <formula>NOT(ISERROR(SEARCH(("Rescheduled"),(C7))))</formula>
    </cfRule>
    <cfRule type="containsText" dxfId="15" priority="5" operator="containsText" text="Canceled">
      <formula>NOT(ISERROR(SEARCH(("Canceled"),(C7))))</formula>
    </cfRule>
  </conditionalFormatting>
  <dataValidations count="3">
    <dataValidation type="list" allowBlank="1" showErrorMessage="1" sqref="G7:G12 G14:G17 G19:G30" xr:uid="{00000000-0002-0000-0300-000000000000}">
      <formula1>"Lovish,Marcelo,Jerad,TBD"</formula1>
    </dataValidation>
    <dataValidation type="list" allowBlank="1" showErrorMessage="1" sqref="B33:B43" xr:uid="{00000000-0002-0000-0300-000001000000}">
      <formula1>"Rescheduled,Canceled"</formula1>
    </dataValidation>
    <dataValidation type="list" allowBlank="1" sqref="C7:C12 C14:C17 C19:C30" xr:uid="{00000000-0002-0000-0300-000002000000}">
      <formula1>"Completed,Confirmed,Pending,Rescheduled,Canceled"</formula1>
    </dataValidation>
  </dataValidations>
  <hyperlinks>
    <hyperlink ref="Q7" r:id="rId1" xr:uid="{00000000-0004-0000-0300-000000000000}"/>
  </hyperlinks>
  <printOptions horizontalCentered="1" gridLines="1"/>
  <pageMargins left="0.7" right="0.7" top="0.75" bottom="0.75" header="0" footer="0"/>
  <pageSetup fitToHeight="0" pageOrder="overThenDown" orientation="landscape" cellComments="atEnd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Z57"/>
  <sheetViews>
    <sheetView workbookViewId="0"/>
  </sheetViews>
  <sheetFormatPr defaultColWidth="12.5703125" defaultRowHeight="15.75" customHeight="1"/>
  <cols>
    <col min="7" max="7" width="21" customWidth="1"/>
    <col min="8" max="8" width="19.42578125" customWidth="1"/>
    <col min="10" max="10" width="26.42578125" customWidth="1"/>
  </cols>
  <sheetData>
    <row r="1" spans="1:10" ht="30">
      <c r="A1" s="266" t="s">
        <v>251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10" ht="23.25">
      <c r="A2" s="156" t="s">
        <v>195</v>
      </c>
      <c r="B2" s="157" t="s">
        <v>196</v>
      </c>
      <c r="C2" s="157" t="s">
        <v>198</v>
      </c>
      <c r="D2" s="157" t="s">
        <v>197</v>
      </c>
      <c r="E2" s="157" t="s">
        <v>199</v>
      </c>
      <c r="F2" s="157" t="s">
        <v>200</v>
      </c>
      <c r="G2" s="157" t="s">
        <v>55</v>
      </c>
      <c r="H2" s="157" t="s">
        <v>56</v>
      </c>
      <c r="I2" s="157" t="s">
        <v>57</v>
      </c>
      <c r="J2" s="157" t="s">
        <v>24</v>
      </c>
    </row>
    <row r="3" spans="1:10" ht="19.5">
      <c r="A3" s="158" t="s">
        <v>14</v>
      </c>
      <c r="B3" s="159" t="s">
        <v>210</v>
      </c>
      <c r="C3" s="159" t="s">
        <v>206</v>
      </c>
      <c r="D3" s="160">
        <v>45372</v>
      </c>
      <c r="E3" s="161">
        <v>0.54166666666666663</v>
      </c>
      <c r="F3" s="161">
        <v>0.625</v>
      </c>
      <c r="G3" s="162" t="s">
        <v>144</v>
      </c>
      <c r="H3" s="162" t="s">
        <v>145</v>
      </c>
      <c r="I3" s="162" t="s">
        <v>68</v>
      </c>
      <c r="J3" s="163"/>
    </row>
    <row r="4" spans="1:10" ht="19.5">
      <c r="A4" s="164" t="s">
        <v>14</v>
      </c>
      <c r="B4" s="163" t="s">
        <v>210</v>
      </c>
      <c r="C4" s="163" t="s">
        <v>206</v>
      </c>
      <c r="D4" s="165">
        <v>45372</v>
      </c>
      <c r="E4" s="166">
        <v>0.6875</v>
      </c>
      <c r="F4" s="166">
        <v>0.77083333333333337</v>
      </c>
      <c r="G4" s="167" t="s">
        <v>236</v>
      </c>
      <c r="H4" s="167" t="s">
        <v>134</v>
      </c>
      <c r="I4" s="167" t="s">
        <v>68</v>
      </c>
      <c r="J4" s="163"/>
    </row>
    <row r="5" spans="1:10" ht="19.5">
      <c r="A5" s="168" t="s">
        <v>12</v>
      </c>
      <c r="B5" s="169" t="s">
        <v>210</v>
      </c>
      <c r="C5" s="163" t="s">
        <v>208</v>
      </c>
      <c r="D5" s="165">
        <v>45373</v>
      </c>
      <c r="E5" s="170">
        <v>0.79166666666666663</v>
      </c>
      <c r="F5" s="166">
        <v>0.875</v>
      </c>
      <c r="G5" s="171" t="s">
        <v>66</v>
      </c>
      <c r="H5" s="172" t="s">
        <v>67</v>
      </c>
      <c r="I5" s="171" t="s">
        <v>68</v>
      </c>
      <c r="J5" s="167"/>
    </row>
    <row r="6" spans="1:10" ht="19.5">
      <c r="A6" s="164" t="s">
        <v>14</v>
      </c>
      <c r="B6" s="163" t="s">
        <v>210</v>
      </c>
      <c r="C6" s="163" t="s">
        <v>212</v>
      </c>
      <c r="D6" s="165">
        <v>45374</v>
      </c>
      <c r="E6" s="166">
        <v>0.45833333333333331</v>
      </c>
      <c r="F6" s="166">
        <v>0.54166666666666663</v>
      </c>
      <c r="G6" s="167" t="s">
        <v>149</v>
      </c>
      <c r="H6" s="173" t="s">
        <v>237</v>
      </c>
      <c r="I6" s="167" t="s">
        <v>68</v>
      </c>
      <c r="J6" s="163"/>
    </row>
    <row r="7" spans="1:10" ht="19.5">
      <c r="A7" s="164" t="s">
        <v>14</v>
      </c>
      <c r="B7" s="163" t="s">
        <v>210</v>
      </c>
      <c r="C7" s="163" t="s">
        <v>212</v>
      </c>
      <c r="D7" s="165">
        <v>45374</v>
      </c>
      <c r="E7" s="166">
        <v>0.60416666666666663</v>
      </c>
      <c r="F7" s="166">
        <v>0.6875</v>
      </c>
      <c r="G7" s="167" t="s">
        <v>157</v>
      </c>
      <c r="H7" s="174" t="s">
        <v>158</v>
      </c>
      <c r="I7" s="167" t="s">
        <v>68</v>
      </c>
      <c r="J7" s="163"/>
    </row>
    <row r="8" spans="1:10" ht="19.5">
      <c r="A8" s="164" t="s">
        <v>14</v>
      </c>
      <c r="B8" s="163" t="s">
        <v>210</v>
      </c>
      <c r="C8" s="163" t="s">
        <v>216</v>
      </c>
      <c r="D8" s="165">
        <v>45375</v>
      </c>
      <c r="E8" s="166">
        <v>0.54166666666666663</v>
      </c>
      <c r="F8" s="166">
        <v>0.625</v>
      </c>
      <c r="G8" s="167" t="s">
        <v>153</v>
      </c>
      <c r="H8" s="175" t="s">
        <v>154</v>
      </c>
      <c r="I8" s="167" t="s">
        <v>68</v>
      </c>
      <c r="J8" s="163"/>
    </row>
    <row r="9" spans="1:10" ht="19.5">
      <c r="A9" s="164" t="s">
        <v>14</v>
      </c>
      <c r="B9" s="169" t="s">
        <v>210</v>
      </c>
      <c r="C9" s="163" t="s">
        <v>216</v>
      </c>
      <c r="D9" s="165">
        <v>45375</v>
      </c>
      <c r="E9" s="166">
        <v>0.6875</v>
      </c>
      <c r="F9" s="166">
        <v>0.77083333333333337</v>
      </c>
      <c r="G9" s="167" t="s">
        <v>252</v>
      </c>
      <c r="H9" s="176" t="s">
        <v>162</v>
      </c>
      <c r="I9" s="173" t="s">
        <v>68</v>
      </c>
      <c r="J9" s="169"/>
    </row>
    <row r="10" spans="1:10" ht="19.5">
      <c r="A10" s="168" t="s">
        <v>12</v>
      </c>
      <c r="B10" s="169" t="s">
        <v>210</v>
      </c>
      <c r="C10" s="163" t="s">
        <v>206</v>
      </c>
      <c r="D10" s="177">
        <v>45379</v>
      </c>
      <c r="E10" s="166">
        <v>0.625</v>
      </c>
      <c r="F10" s="166">
        <v>0.70833333333333337</v>
      </c>
      <c r="G10" s="171" t="s">
        <v>78</v>
      </c>
      <c r="H10" s="178" t="s">
        <v>79</v>
      </c>
      <c r="I10" s="171" t="s">
        <v>68</v>
      </c>
      <c r="J10" s="167"/>
    </row>
    <row r="11" spans="1:10" ht="19.5">
      <c r="A11" s="168" t="s">
        <v>12</v>
      </c>
      <c r="B11" s="169" t="s">
        <v>210</v>
      </c>
      <c r="C11" s="163" t="s">
        <v>212</v>
      </c>
      <c r="D11" s="165">
        <v>45381</v>
      </c>
      <c r="E11" s="166">
        <v>0.54166666666666663</v>
      </c>
      <c r="F11" s="166">
        <v>0.625</v>
      </c>
      <c r="G11" s="171" t="s">
        <v>82</v>
      </c>
      <c r="H11" s="179" t="s">
        <v>83</v>
      </c>
      <c r="I11" s="171" t="s">
        <v>68</v>
      </c>
      <c r="J11" s="167"/>
    </row>
    <row r="12" spans="1:10" ht="19.5">
      <c r="A12" s="168" t="s">
        <v>12</v>
      </c>
      <c r="B12" s="169" t="s">
        <v>210</v>
      </c>
      <c r="C12" s="163" t="s">
        <v>212</v>
      </c>
      <c r="D12" s="165">
        <v>45381</v>
      </c>
      <c r="E12" s="166">
        <v>0.70833333333333337</v>
      </c>
      <c r="F12" s="166">
        <v>0.79166666666666663</v>
      </c>
      <c r="G12" s="171" t="s">
        <v>121</v>
      </c>
      <c r="H12" s="179" t="s">
        <v>122</v>
      </c>
      <c r="I12" s="171" t="s">
        <v>68</v>
      </c>
      <c r="J12" s="173"/>
    </row>
    <row r="13" spans="1:10" ht="19.5">
      <c r="A13" s="168" t="s">
        <v>12</v>
      </c>
      <c r="B13" s="169" t="s">
        <v>210</v>
      </c>
      <c r="C13" s="163" t="s">
        <v>212</v>
      </c>
      <c r="D13" s="165">
        <v>45388</v>
      </c>
      <c r="E13" s="166">
        <v>0.58333333333333337</v>
      </c>
      <c r="F13" s="166">
        <v>0.66666666666666663</v>
      </c>
      <c r="G13" s="171" t="s">
        <v>87</v>
      </c>
      <c r="H13" s="179" t="s">
        <v>88</v>
      </c>
      <c r="I13" s="171" t="s">
        <v>68</v>
      </c>
      <c r="J13" s="167"/>
    </row>
    <row r="14" spans="1:10" ht="19.5">
      <c r="A14" s="168" t="s">
        <v>12</v>
      </c>
      <c r="B14" s="169" t="s">
        <v>210</v>
      </c>
      <c r="C14" s="169" t="s">
        <v>212</v>
      </c>
      <c r="D14" s="165">
        <v>45388</v>
      </c>
      <c r="E14" s="166">
        <v>0.75</v>
      </c>
      <c r="F14" s="166">
        <v>0.83333333333333337</v>
      </c>
      <c r="G14" s="171" t="s">
        <v>91</v>
      </c>
      <c r="H14" s="179" t="s">
        <v>92</v>
      </c>
      <c r="I14" s="180" t="s">
        <v>93</v>
      </c>
      <c r="J14" s="173"/>
    </row>
    <row r="15" spans="1:10" ht="19.5">
      <c r="A15" s="168" t="s">
        <v>12</v>
      </c>
      <c r="B15" s="163" t="s">
        <v>210</v>
      </c>
      <c r="C15" s="163" t="s">
        <v>227</v>
      </c>
      <c r="D15" s="165">
        <v>45390</v>
      </c>
      <c r="E15" s="166">
        <v>0.79166666666666663</v>
      </c>
      <c r="F15" s="166">
        <v>0.875</v>
      </c>
      <c r="G15" s="171" t="s">
        <v>74</v>
      </c>
      <c r="H15" s="181" t="s">
        <v>75</v>
      </c>
      <c r="I15" s="171" t="s">
        <v>68</v>
      </c>
      <c r="J15" s="167"/>
    </row>
    <row r="18" spans="1:10" ht="30">
      <c r="A18" s="266" t="s">
        <v>253</v>
      </c>
      <c r="B18" s="255"/>
      <c r="C18" s="255"/>
      <c r="D18" s="255"/>
      <c r="E18" s="255"/>
      <c r="F18" s="255"/>
      <c r="G18" s="255"/>
      <c r="H18" s="255"/>
      <c r="I18" s="255"/>
      <c r="J18" s="255"/>
    </row>
    <row r="19" spans="1:10" ht="23.25">
      <c r="A19" s="156" t="s">
        <v>195</v>
      </c>
      <c r="B19" s="157" t="s">
        <v>196</v>
      </c>
      <c r="C19" s="157" t="s">
        <v>198</v>
      </c>
      <c r="D19" s="157" t="s">
        <v>197</v>
      </c>
      <c r="E19" s="157" t="s">
        <v>199</v>
      </c>
      <c r="F19" s="157" t="s">
        <v>200</v>
      </c>
      <c r="G19" s="157" t="s">
        <v>55</v>
      </c>
      <c r="H19" s="157" t="s">
        <v>56</v>
      </c>
      <c r="I19" s="157" t="s">
        <v>57</v>
      </c>
      <c r="J19" s="157" t="s">
        <v>24</v>
      </c>
    </row>
    <row r="20" spans="1:10" ht="19.5">
      <c r="A20" s="182" t="s">
        <v>12</v>
      </c>
      <c r="B20" s="183" t="s">
        <v>205</v>
      </c>
      <c r="C20" s="183" t="s">
        <v>206</v>
      </c>
      <c r="D20" s="184">
        <v>45372</v>
      </c>
      <c r="E20" s="185">
        <v>0.79166666666666663</v>
      </c>
      <c r="F20" s="185">
        <v>0.875</v>
      </c>
      <c r="G20" s="186" t="s">
        <v>106</v>
      </c>
      <c r="H20" s="187" t="s">
        <v>107</v>
      </c>
      <c r="I20" s="186" t="s">
        <v>108</v>
      </c>
      <c r="J20" s="188" t="s">
        <v>254</v>
      </c>
    </row>
    <row r="21" spans="1:10" ht="19.5">
      <c r="A21" s="168" t="s">
        <v>12</v>
      </c>
      <c r="B21" s="169" t="s">
        <v>205</v>
      </c>
      <c r="C21" s="163" t="s">
        <v>208</v>
      </c>
      <c r="D21" s="189">
        <v>45373</v>
      </c>
      <c r="E21" s="166">
        <v>0.625</v>
      </c>
      <c r="F21" s="166">
        <v>0.70833333333333337</v>
      </c>
      <c r="G21" s="171" t="s">
        <v>126</v>
      </c>
      <c r="H21" s="172" t="s">
        <v>127</v>
      </c>
      <c r="I21" s="190" t="s">
        <v>128</v>
      </c>
      <c r="J21" s="173"/>
    </row>
    <row r="22" spans="1:10" ht="19.5">
      <c r="A22" s="168" t="s">
        <v>12</v>
      </c>
      <c r="B22" s="169" t="s">
        <v>205</v>
      </c>
      <c r="C22" s="163" t="s">
        <v>212</v>
      </c>
      <c r="D22" s="165">
        <v>45374</v>
      </c>
      <c r="E22" s="166">
        <v>0.4375</v>
      </c>
      <c r="F22" s="166">
        <v>0.52083333333333337</v>
      </c>
      <c r="G22" s="171" t="s">
        <v>97</v>
      </c>
      <c r="H22" s="179" t="s">
        <v>213</v>
      </c>
      <c r="I22" s="171" t="s">
        <v>68</v>
      </c>
      <c r="J22" s="167"/>
    </row>
    <row r="23" spans="1:10" ht="19.5">
      <c r="A23" s="168" t="s">
        <v>12</v>
      </c>
      <c r="B23" s="169" t="s">
        <v>205</v>
      </c>
      <c r="C23" s="163" t="s">
        <v>212</v>
      </c>
      <c r="D23" s="189">
        <v>45374</v>
      </c>
      <c r="E23" s="166">
        <v>0.58333333333333337</v>
      </c>
      <c r="F23" s="166">
        <v>0.66666666666666663</v>
      </c>
      <c r="G23" s="171" t="s">
        <v>111</v>
      </c>
      <c r="H23" s="179" t="s">
        <v>112</v>
      </c>
      <c r="I23" s="171" t="s">
        <v>68</v>
      </c>
      <c r="J23" s="167"/>
    </row>
    <row r="24" spans="1:10" ht="19.5">
      <c r="A24" s="168" t="s">
        <v>12</v>
      </c>
      <c r="B24" s="169" t="s">
        <v>205</v>
      </c>
      <c r="C24" s="163" t="s">
        <v>216</v>
      </c>
      <c r="D24" s="189">
        <v>45375</v>
      </c>
      <c r="E24" s="166">
        <v>0.625</v>
      </c>
      <c r="F24" s="166">
        <v>0.70833333333333337</v>
      </c>
      <c r="G24" s="171" t="s">
        <v>102</v>
      </c>
      <c r="H24" s="181" t="s">
        <v>103</v>
      </c>
      <c r="I24" s="171" t="s">
        <v>68</v>
      </c>
      <c r="J24" s="167"/>
    </row>
    <row r="25" spans="1:10" ht="19.5">
      <c r="A25" s="164" t="s">
        <v>14</v>
      </c>
      <c r="B25" s="169" t="s">
        <v>205</v>
      </c>
      <c r="C25" s="163" t="s">
        <v>208</v>
      </c>
      <c r="D25" s="191">
        <v>45380</v>
      </c>
      <c r="E25" s="166">
        <v>0.64583333333333337</v>
      </c>
      <c r="F25" s="166">
        <v>0.72916666666666663</v>
      </c>
      <c r="G25" s="167" t="s">
        <v>247</v>
      </c>
      <c r="H25" s="175" t="s">
        <v>140</v>
      </c>
      <c r="I25" s="173" t="s">
        <v>68</v>
      </c>
      <c r="J25" s="169"/>
    </row>
    <row r="26" spans="1:10" ht="19.5">
      <c r="A26" s="164" t="s">
        <v>14</v>
      </c>
      <c r="B26" s="169" t="s">
        <v>205</v>
      </c>
      <c r="C26" s="163" t="s">
        <v>208</v>
      </c>
      <c r="D26" s="189">
        <v>45380</v>
      </c>
      <c r="E26" s="166">
        <v>0.79166666666666663</v>
      </c>
      <c r="F26" s="166">
        <v>0.875</v>
      </c>
      <c r="G26" s="167" t="s">
        <v>171</v>
      </c>
      <c r="H26" s="176" t="s">
        <v>172</v>
      </c>
      <c r="I26" s="173" t="s">
        <v>68</v>
      </c>
      <c r="J26" s="163"/>
    </row>
    <row r="29" spans="1:10" ht="30">
      <c r="A29" s="266" t="s">
        <v>255</v>
      </c>
      <c r="B29" s="255"/>
      <c r="C29" s="255"/>
      <c r="D29" s="255"/>
      <c r="E29" s="255"/>
      <c r="F29" s="255"/>
      <c r="G29" s="255"/>
      <c r="H29" s="255"/>
      <c r="I29" s="255"/>
      <c r="J29" s="255"/>
    </row>
    <row r="30" spans="1:10" ht="23.25">
      <c r="A30" s="156" t="s">
        <v>195</v>
      </c>
      <c r="B30" s="157" t="s">
        <v>196</v>
      </c>
      <c r="C30" s="157" t="s">
        <v>198</v>
      </c>
      <c r="D30" s="157" t="s">
        <v>197</v>
      </c>
      <c r="E30" s="157" t="s">
        <v>199</v>
      </c>
      <c r="F30" s="157" t="s">
        <v>200</v>
      </c>
      <c r="G30" s="157" t="s">
        <v>55</v>
      </c>
      <c r="H30" s="157" t="s">
        <v>56</v>
      </c>
      <c r="I30" s="157" t="s">
        <v>57</v>
      </c>
      <c r="J30" s="157" t="s">
        <v>24</v>
      </c>
    </row>
    <row r="31" spans="1:10" ht="19.5">
      <c r="A31" s="164" t="s">
        <v>14</v>
      </c>
      <c r="B31" s="169" t="s">
        <v>220</v>
      </c>
      <c r="C31" s="169" t="s">
        <v>206</v>
      </c>
      <c r="D31" s="192">
        <v>45379</v>
      </c>
      <c r="E31" s="193">
        <v>0.625</v>
      </c>
      <c r="F31" s="193">
        <v>0.70833333333333337</v>
      </c>
      <c r="G31" s="173" t="s">
        <v>166</v>
      </c>
      <c r="H31" s="176" t="s">
        <v>167</v>
      </c>
      <c r="I31" s="173" t="s">
        <v>68</v>
      </c>
      <c r="J31" s="169"/>
    </row>
    <row r="32" spans="1:10" ht="19.5">
      <c r="A32" s="164" t="s">
        <v>14</v>
      </c>
      <c r="B32" s="169" t="s">
        <v>220</v>
      </c>
      <c r="C32" s="163" t="s">
        <v>206</v>
      </c>
      <c r="D32" s="177">
        <v>45379</v>
      </c>
      <c r="E32" s="193">
        <v>0.77083333333333337</v>
      </c>
      <c r="F32" s="193">
        <v>0.85416666666666663</v>
      </c>
      <c r="G32" s="173" t="s">
        <v>245</v>
      </c>
      <c r="H32" s="174" t="s">
        <v>176</v>
      </c>
      <c r="I32" s="173" t="s">
        <v>68</v>
      </c>
      <c r="J32" s="163"/>
    </row>
    <row r="33" spans="1:10" ht="19.5">
      <c r="A33" s="168" t="s">
        <v>12</v>
      </c>
      <c r="B33" s="169" t="s">
        <v>220</v>
      </c>
      <c r="C33" s="163" t="s">
        <v>221</v>
      </c>
      <c r="D33" s="177">
        <v>45385</v>
      </c>
      <c r="E33" s="166">
        <v>0.70833333333333337</v>
      </c>
      <c r="F33" s="166">
        <v>0.79166666666666663</v>
      </c>
      <c r="G33" s="171" t="s">
        <v>222</v>
      </c>
      <c r="H33" s="179" t="s">
        <v>116</v>
      </c>
      <c r="I33" s="171" t="s">
        <v>68</v>
      </c>
      <c r="J33" s="173"/>
    </row>
    <row r="34" spans="1:10" ht="19.5">
      <c r="A34" s="164" t="s">
        <v>14</v>
      </c>
      <c r="B34" s="163" t="s">
        <v>220</v>
      </c>
      <c r="C34" s="163" t="s">
        <v>212</v>
      </c>
      <c r="D34" s="177">
        <v>45388</v>
      </c>
      <c r="E34" s="166">
        <v>0.58333333333333337</v>
      </c>
      <c r="F34" s="166">
        <v>0.66666666666666663</v>
      </c>
      <c r="G34" s="167" t="s">
        <v>181</v>
      </c>
      <c r="H34" s="175" t="s">
        <v>182</v>
      </c>
      <c r="I34" s="173" t="s">
        <v>68</v>
      </c>
      <c r="J34" s="163"/>
    </row>
    <row r="35" spans="1:10" ht="19.5">
      <c r="A35" s="164" t="s">
        <v>14</v>
      </c>
      <c r="B35" s="163" t="s">
        <v>220</v>
      </c>
      <c r="C35" s="163" t="s">
        <v>212</v>
      </c>
      <c r="D35" s="177">
        <v>45388</v>
      </c>
      <c r="E35" s="166">
        <v>0.72916666666666663</v>
      </c>
      <c r="F35" s="166">
        <v>0.8125</v>
      </c>
      <c r="G35" s="167" t="s">
        <v>250</v>
      </c>
      <c r="H35" s="175" t="s">
        <v>180</v>
      </c>
      <c r="I35" s="173" t="s">
        <v>68</v>
      </c>
      <c r="J35" s="163"/>
    </row>
    <row r="51" spans="1:26" ht="46.5">
      <c r="A51" s="98" t="s">
        <v>256</v>
      </c>
      <c r="B51" s="97" t="s">
        <v>230</v>
      </c>
      <c r="C51" s="97" t="s">
        <v>197</v>
      </c>
      <c r="D51" s="97" t="s">
        <v>198</v>
      </c>
      <c r="E51" s="194" t="s">
        <v>199</v>
      </c>
      <c r="F51" s="194" t="s">
        <v>200</v>
      </c>
      <c r="G51" s="97" t="s">
        <v>55</v>
      </c>
      <c r="H51" s="97" t="s">
        <v>56</v>
      </c>
      <c r="I51" s="97" t="s">
        <v>57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hidden="1">
      <c r="A52" s="102" t="s">
        <v>12</v>
      </c>
      <c r="B52" s="105" t="s">
        <v>210</v>
      </c>
      <c r="C52" s="125" t="s">
        <v>206</v>
      </c>
      <c r="D52" s="195">
        <v>45386</v>
      </c>
      <c r="E52" s="196">
        <v>0.79166666666666663</v>
      </c>
      <c r="F52" s="196">
        <v>0.875</v>
      </c>
      <c r="G52" s="197" t="s">
        <v>82</v>
      </c>
      <c r="H52" s="179" t="s">
        <v>83</v>
      </c>
      <c r="I52" s="197" t="s">
        <v>68</v>
      </c>
    </row>
    <row r="53" spans="1:26" ht="19.5" hidden="1">
      <c r="A53" s="102" t="s">
        <v>12</v>
      </c>
      <c r="B53" s="105" t="s">
        <v>210</v>
      </c>
      <c r="C53" s="105" t="s">
        <v>212</v>
      </c>
      <c r="D53" s="198">
        <v>45388</v>
      </c>
      <c r="E53" s="199">
        <v>0.58333333333333337</v>
      </c>
      <c r="F53" s="199">
        <v>0.66666666666666663</v>
      </c>
      <c r="G53" s="200" t="s">
        <v>87</v>
      </c>
      <c r="H53" s="179" t="s">
        <v>88</v>
      </c>
      <c r="I53" s="197" t="s">
        <v>68</v>
      </c>
    </row>
    <row r="54" spans="1:26" ht="19.5">
      <c r="A54" s="201" t="s">
        <v>14</v>
      </c>
      <c r="B54" s="125" t="s">
        <v>220</v>
      </c>
      <c r="C54" s="126" t="s">
        <v>212</v>
      </c>
      <c r="D54" s="202">
        <v>45388</v>
      </c>
      <c r="E54" s="203">
        <v>0.58333333333333337</v>
      </c>
      <c r="F54" s="203">
        <v>0.66666666666666663</v>
      </c>
      <c r="G54" s="204" t="s">
        <v>181</v>
      </c>
      <c r="H54" s="179" t="s">
        <v>182</v>
      </c>
      <c r="I54" s="205" t="s">
        <v>68</v>
      </c>
    </row>
    <row r="55" spans="1:26" ht="19.5">
      <c r="A55" s="201" t="s">
        <v>14</v>
      </c>
      <c r="B55" s="125" t="s">
        <v>220</v>
      </c>
      <c r="C55" s="126" t="s">
        <v>212</v>
      </c>
      <c r="D55" s="202">
        <v>45388</v>
      </c>
      <c r="E55" s="203">
        <v>0.72916666666666663</v>
      </c>
      <c r="F55" s="203">
        <v>0.8125</v>
      </c>
      <c r="G55" s="204" t="s">
        <v>250</v>
      </c>
      <c r="H55" s="179" t="s">
        <v>180</v>
      </c>
      <c r="I55" s="205" t="s">
        <v>68</v>
      </c>
    </row>
    <row r="56" spans="1:26" ht="19.5" hidden="1">
      <c r="A56" s="121" t="s">
        <v>12</v>
      </c>
      <c r="B56" s="105" t="s">
        <v>210</v>
      </c>
      <c r="C56" s="206" t="s">
        <v>212</v>
      </c>
      <c r="D56" s="207">
        <v>45388</v>
      </c>
      <c r="E56" s="208">
        <v>0.75</v>
      </c>
      <c r="F56" s="208">
        <v>0.83333333333333337</v>
      </c>
      <c r="G56" s="209" t="s">
        <v>91</v>
      </c>
      <c r="H56" s="71" t="s">
        <v>92</v>
      </c>
      <c r="I56" s="210" t="s">
        <v>93</v>
      </c>
    </row>
    <row r="57" spans="1:26" ht="19.5" hidden="1">
      <c r="A57" s="121" t="s">
        <v>12</v>
      </c>
      <c r="B57" s="105" t="s">
        <v>210</v>
      </c>
      <c r="C57" s="121" t="s">
        <v>227</v>
      </c>
      <c r="D57" s="207">
        <v>45390</v>
      </c>
      <c r="E57" s="208">
        <v>0.79166666666666663</v>
      </c>
      <c r="F57" s="208">
        <v>0.875</v>
      </c>
      <c r="G57" s="209" t="s">
        <v>74</v>
      </c>
      <c r="H57" s="211" t="s">
        <v>75</v>
      </c>
      <c r="I57" s="209" t="s">
        <v>68</v>
      </c>
    </row>
  </sheetData>
  <autoFilter ref="A51:I57" xr:uid="{00000000-0009-0000-0000-000004000000}">
    <filterColumn colId="1">
      <filters>
        <filter val="Marcelo"/>
      </filters>
    </filterColumn>
    <sortState xmlns:xlrd2="http://schemas.microsoft.com/office/spreadsheetml/2017/richdata2" ref="A51:I57">
      <sortCondition ref="D51:D57"/>
      <sortCondition ref="E51:E57"/>
    </sortState>
  </autoFilter>
  <mergeCells count="3">
    <mergeCell ref="A1:J1"/>
    <mergeCell ref="A18:J18"/>
    <mergeCell ref="A29:J29"/>
  </mergeCells>
  <conditionalFormatting sqref="A56:B57">
    <cfRule type="containsText" dxfId="14" priority="1" operator="containsText" text="Completed">
      <formula>NOT(ISERROR(SEARCH(("Completed"),(A56))))</formula>
    </cfRule>
    <cfRule type="containsText" dxfId="13" priority="2" operator="containsText" text="Confirmed">
      <formula>NOT(ISERROR(SEARCH(("Confirmed"),(A56))))</formula>
    </cfRule>
    <cfRule type="containsText" dxfId="12" priority="3" operator="containsText" text="Pending">
      <formula>NOT(ISERROR(SEARCH(("Pending"),(A56))))</formula>
    </cfRule>
    <cfRule type="containsText" dxfId="11" priority="4" operator="containsText" text="Rescheduled">
      <formula>NOT(ISERROR(SEARCH(("Rescheduled"),(A56))))</formula>
    </cfRule>
    <cfRule type="containsText" dxfId="10" priority="5" operator="containsText" text="Canceled">
      <formula>NOT(ISERROR(SEARCH(("Canceled"),(A56))))</formula>
    </cfRule>
  </conditionalFormatting>
  <dataValidations count="1">
    <dataValidation type="list" allowBlank="1" showErrorMessage="1" sqref="B52:B57" xr:uid="{00000000-0002-0000-0400-000000000000}">
      <formula1>"Lovish,Marcelo,Jerad,TBD"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K285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/>
  <cols>
    <col min="1" max="1" width="2.85546875" customWidth="1"/>
    <col min="2" max="2" width="22.42578125" customWidth="1"/>
    <col min="3" max="4" width="15.42578125" customWidth="1"/>
    <col min="5" max="5" width="24" customWidth="1"/>
    <col min="6" max="6" width="24.5703125" customWidth="1"/>
    <col min="7" max="7" width="13.42578125" hidden="1" customWidth="1"/>
    <col min="8" max="8" width="11.5703125" customWidth="1"/>
    <col min="9" max="10" width="11.5703125" hidden="1" customWidth="1"/>
    <col min="11" max="11" width="14.85546875" customWidth="1"/>
  </cols>
  <sheetData>
    <row r="1" spans="1:11" ht="22.5" customHeight="1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36.75" customHeight="1">
      <c r="A2" s="50"/>
      <c r="B2" s="267" t="s">
        <v>257</v>
      </c>
      <c r="C2" s="265"/>
      <c r="D2" s="265"/>
      <c r="E2" s="265"/>
      <c r="F2" s="212"/>
      <c r="G2" s="144"/>
      <c r="H2" s="80"/>
      <c r="I2" s="80"/>
      <c r="J2" s="213"/>
      <c r="K2" s="213"/>
    </row>
    <row r="3" spans="1:11" ht="23.25">
      <c r="A3" s="214"/>
      <c r="B3" s="85"/>
      <c r="C3" s="86"/>
      <c r="D3" s="86"/>
      <c r="E3" s="86"/>
      <c r="F3" s="86"/>
      <c r="G3" s="86"/>
      <c r="H3" s="87"/>
      <c r="I3" s="87"/>
      <c r="J3" s="215"/>
      <c r="K3" s="57"/>
    </row>
    <row r="4" spans="1:11" ht="23.25">
      <c r="A4" s="214"/>
      <c r="B4" s="85"/>
      <c r="C4" s="86"/>
      <c r="D4" s="86"/>
      <c r="E4" s="86"/>
      <c r="F4" s="86"/>
      <c r="G4" s="86"/>
      <c r="H4" s="87"/>
      <c r="I4" s="87"/>
      <c r="J4" s="215"/>
      <c r="K4" s="57"/>
    </row>
    <row r="5" spans="1:11" ht="21.75">
      <c r="A5" s="54"/>
      <c r="B5" s="216" t="s">
        <v>258</v>
      </c>
      <c r="C5" s="217" t="s">
        <v>259</v>
      </c>
      <c r="D5" s="217" t="s">
        <v>260</v>
      </c>
      <c r="E5" s="217" t="s">
        <v>261</v>
      </c>
      <c r="F5" s="218" t="s">
        <v>262</v>
      </c>
      <c r="G5" s="217" t="s">
        <v>263</v>
      </c>
      <c r="H5" s="217" t="s">
        <v>264</v>
      </c>
      <c r="I5" s="217" t="s">
        <v>265</v>
      </c>
      <c r="J5" s="219" t="s">
        <v>266</v>
      </c>
      <c r="K5" s="219" t="s">
        <v>267</v>
      </c>
    </row>
    <row r="6" spans="1:11" ht="19.5" hidden="1">
      <c r="A6" s="220"/>
      <c r="B6" s="221" t="s">
        <v>268</v>
      </c>
      <c r="C6" s="222" t="s">
        <v>269</v>
      </c>
      <c r="D6" s="223">
        <v>45370</v>
      </c>
      <c r="E6" s="224" t="s">
        <v>270</v>
      </c>
      <c r="F6" s="225" t="s">
        <v>270</v>
      </c>
      <c r="G6" s="226">
        <v>0.77777777777777779</v>
      </c>
      <c r="H6" s="227">
        <v>0.73611111111111116</v>
      </c>
      <c r="I6" s="227">
        <f t="shared" ref="I6:J6" si="0">H6-TIME(1,0,0)</f>
        <v>0.69444444444444453</v>
      </c>
      <c r="J6" s="227">
        <f t="shared" si="0"/>
        <v>0.6527777777777779</v>
      </c>
      <c r="K6" s="224" t="s">
        <v>271</v>
      </c>
    </row>
    <row r="7" spans="1:11" ht="19.5" hidden="1">
      <c r="A7" s="220"/>
      <c r="B7" s="221" t="s">
        <v>268</v>
      </c>
      <c r="C7" s="222" t="s">
        <v>269</v>
      </c>
      <c r="D7" s="223">
        <v>45370</v>
      </c>
      <c r="E7" s="224" t="s">
        <v>270</v>
      </c>
      <c r="F7" s="224" t="s">
        <v>270</v>
      </c>
      <c r="G7" s="226">
        <v>0.88194444444444442</v>
      </c>
      <c r="H7" s="227">
        <v>0.84027777777777779</v>
      </c>
      <c r="I7" s="227">
        <f t="shared" ref="I7:J7" si="1">H7-TIME(1,0,0)</f>
        <v>0.79861111111111116</v>
      </c>
      <c r="J7" s="227">
        <f t="shared" si="1"/>
        <v>0.75694444444444453</v>
      </c>
      <c r="K7" s="224" t="s">
        <v>271</v>
      </c>
    </row>
    <row r="8" spans="1:11" ht="19.5" hidden="1">
      <c r="A8" s="220"/>
      <c r="B8" s="221" t="s">
        <v>268</v>
      </c>
      <c r="C8" s="222" t="s">
        <v>221</v>
      </c>
      <c r="D8" s="223">
        <v>45371</v>
      </c>
      <c r="E8" s="224" t="s">
        <v>270</v>
      </c>
      <c r="F8" s="224" t="s">
        <v>270</v>
      </c>
      <c r="G8" s="226">
        <v>0.77777777777777779</v>
      </c>
      <c r="H8" s="227">
        <v>0.73611111111111116</v>
      </c>
      <c r="I8" s="227">
        <f t="shared" ref="I8:J8" si="2">H8-TIME(1,0,0)</f>
        <v>0.69444444444444453</v>
      </c>
      <c r="J8" s="227">
        <f t="shared" si="2"/>
        <v>0.6527777777777779</v>
      </c>
      <c r="K8" s="224" t="s">
        <v>271</v>
      </c>
    </row>
    <row r="9" spans="1:11" ht="19.5" hidden="1">
      <c r="A9" s="220"/>
      <c r="B9" s="221" t="s">
        <v>268</v>
      </c>
      <c r="C9" s="222" t="s">
        <v>221</v>
      </c>
      <c r="D9" s="223">
        <v>45371</v>
      </c>
      <c r="E9" s="224" t="s">
        <v>270</v>
      </c>
      <c r="F9" s="224" t="s">
        <v>270</v>
      </c>
      <c r="G9" s="226">
        <v>0.88194444444444442</v>
      </c>
      <c r="H9" s="227">
        <v>0.84027777777777779</v>
      </c>
      <c r="I9" s="227">
        <f t="shared" ref="I9:J9" si="3">H9-TIME(1,0,0)</f>
        <v>0.79861111111111116</v>
      </c>
      <c r="J9" s="227">
        <f t="shared" si="3"/>
        <v>0.75694444444444453</v>
      </c>
      <c r="K9" s="224" t="s">
        <v>271</v>
      </c>
    </row>
    <row r="10" spans="1:11" ht="19.5" hidden="1">
      <c r="A10" s="220"/>
      <c r="B10" s="221" t="s">
        <v>272</v>
      </c>
      <c r="C10" s="222" t="s">
        <v>206</v>
      </c>
      <c r="D10" s="223">
        <v>45372</v>
      </c>
      <c r="E10" s="224" t="s">
        <v>270</v>
      </c>
      <c r="F10" s="224" t="s">
        <v>270</v>
      </c>
      <c r="G10" s="226">
        <v>0.51041666666666663</v>
      </c>
      <c r="H10" s="227">
        <v>0.46874999999999994</v>
      </c>
      <c r="I10" s="227">
        <f t="shared" ref="I10:J10" si="4">H10-TIME(1,0,0)</f>
        <v>0.42708333333333326</v>
      </c>
      <c r="J10" s="227">
        <f t="shared" si="4"/>
        <v>0.38541666666666657</v>
      </c>
      <c r="K10" s="222"/>
    </row>
    <row r="11" spans="1:11" ht="19.5" hidden="1">
      <c r="A11" s="220"/>
      <c r="B11" s="221" t="s">
        <v>272</v>
      </c>
      <c r="C11" s="222" t="s">
        <v>206</v>
      </c>
      <c r="D11" s="223">
        <v>45372</v>
      </c>
      <c r="E11" s="224" t="s">
        <v>270</v>
      </c>
      <c r="F11" s="224" t="s">
        <v>270</v>
      </c>
      <c r="G11" s="226">
        <v>0.52777777777777779</v>
      </c>
      <c r="H11" s="227">
        <v>0.4861111111111111</v>
      </c>
      <c r="I11" s="227">
        <f t="shared" ref="I11:J11" si="5">H11-TIME(1,0,0)</f>
        <v>0.44444444444444442</v>
      </c>
      <c r="J11" s="227">
        <f t="shared" si="5"/>
        <v>0.40277777777777773</v>
      </c>
      <c r="K11" s="222"/>
    </row>
    <row r="12" spans="1:11" ht="19.5" hidden="1">
      <c r="A12" s="220"/>
      <c r="B12" s="221" t="s">
        <v>272</v>
      </c>
      <c r="C12" s="222" t="s">
        <v>206</v>
      </c>
      <c r="D12" s="223">
        <v>45372</v>
      </c>
      <c r="E12" s="224" t="s">
        <v>270</v>
      </c>
      <c r="F12" s="224" t="s">
        <v>270</v>
      </c>
      <c r="G12" s="226">
        <v>0.56944444444444442</v>
      </c>
      <c r="H12" s="227">
        <v>0.52777777777777779</v>
      </c>
      <c r="I12" s="227">
        <f t="shared" ref="I12:J12" si="6">H12-TIME(1,0,0)</f>
        <v>0.4861111111111111</v>
      </c>
      <c r="J12" s="227">
        <f t="shared" si="6"/>
        <v>0.44444444444444442</v>
      </c>
      <c r="K12" s="222"/>
    </row>
    <row r="13" spans="1:11" ht="19.5" hidden="1">
      <c r="A13" s="220"/>
      <c r="B13" s="221" t="s">
        <v>272</v>
      </c>
      <c r="C13" s="222" t="s">
        <v>206</v>
      </c>
      <c r="D13" s="223">
        <v>45372</v>
      </c>
      <c r="E13" s="224" t="s">
        <v>270</v>
      </c>
      <c r="F13" s="224" t="s">
        <v>270</v>
      </c>
      <c r="G13" s="226">
        <v>0.58333333333333337</v>
      </c>
      <c r="H13" s="227">
        <v>0.54166666666666674</v>
      </c>
      <c r="I13" s="227">
        <f t="shared" ref="I13:J13" si="7">H13-TIME(1,0,0)</f>
        <v>0.50000000000000011</v>
      </c>
      <c r="J13" s="227">
        <f t="shared" si="7"/>
        <v>0.45833333333333343</v>
      </c>
      <c r="K13" s="222"/>
    </row>
    <row r="14" spans="1:11" ht="19.5" hidden="1">
      <c r="A14" s="220"/>
      <c r="B14" s="221" t="s">
        <v>272</v>
      </c>
      <c r="C14" s="222" t="s">
        <v>206</v>
      </c>
      <c r="D14" s="223">
        <v>45372</v>
      </c>
      <c r="E14" s="224" t="s">
        <v>270</v>
      </c>
      <c r="F14" s="224" t="s">
        <v>270</v>
      </c>
      <c r="G14" s="226">
        <v>0.61458333333333337</v>
      </c>
      <c r="H14" s="227">
        <v>0.57291666666666674</v>
      </c>
      <c r="I14" s="227">
        <f t="shared" ref="I14:J14" si="8">H14-TIME(1,0,0)</f>
        <v>0.53125000000000011</v>
      </c>
      <c r="J14" s="227">
        <f t="shared" si="8"/>
        <v>0.48958333333333343</v>
      </c>
      <c r="K14" s="222"/>
    </row>
    <row r="15" spans="1:11" ht="19.5" hidden="1">
      <c r="A15" s="220"/>
      <c r="B15" s="221" t="s">
        <v>272</v>
      </c>
      <c r="C15" s="222" t="s">
        <v>206</v>
      </c>
      <c r="D15" s="223">
        <v>45372</v>
      </c>
      <c r="E15" s="224" t="s">
        <v>270</v>
      </c>
      <c r="F15" s="224" t="s">
        <v>270</v>
      </c>
      <c r="G15" s="226">
        <v>0.63194444444444442</v>
      </c>
      <c r="H15" s="227">
        <v>0.59027777777777779</v>
      </c>
      <c r="I15" s="227">
        <f t="shared" ref="I15:J15" si="9">H15-TIME(1,0,0)</f>
        <v>0.54861111111111116</v>
      </c>
      <c r="J15" s="227">
        <f t="shared" si="9"/>
        <v>0.50694444444444453</v>
      </c>
      <c r="K15" s="222"/>
    </row>
    <row r="16" spans="1:11" ht="19.5" hidden="1">
      <c r="A16" s="220"/>
      <c r="B16" s="221" t="s">
        <v>272</v>
      </c>
      <c r="C16" s="222" t="s">
        <v>206</v>
      </c>
      <c r="D16" s="223">
        <v>45372</v>
      </c>
      <c r="E16" s="224" t="s">
        <v>270</v>
      </c>
      <c r="F16" s="224" t="s">
        <v>270</v>
      </c>
      <c r="G16" s="226">
        <v>0.67361111111111116</v>
      </c>
      <c r="H16" s="227">
        <v>0.63194444444444453</v>
      </c>
      <c r="I16" s="227">
        <f t="shared" ref="I16:J16" si="10">H16-TIME(1,0,0)</f>
        <v>0.5902777777777779</v>
      </c>
      <c r="J16" s="227">
        <f t="shared" si="10"/>
        <v>0.54861111111111127</v>
      </c>
      <c r="K16" s="222"/>
    </row>
    <row r="17" spans="1:11" ht="19.5" hidden="1">
      <c r="A17" s="220"/>
      <c r="B17" s="221" t="s">
        <v>272</v>
      </c>
      <c r="C17" s="222" t="s">
        <v>206</v>
      </c>
      <c r="D17" s="223">
        <v>45372</v>
      </c>
      <c r="E17" s="224" t="s">
        <v>270</v>
      </c>
      <c r="F17" s="224" t="s">
        <v>270</v>
      </c>
      <c r="G17" s="226">
        <v>0.6875</v>
      </c>
      <c r="H17" s="227">
        <v>0.64583333333333337</v>
      </c>
      <c r="I17" s="227">
        <f t="shared" ref="I17:J17" si="11">H17-TIME(1,0,0)</f>
        <v>0.60416666666666674</v>
      </c>
      <c r="J17" s="227">
        <f t="shared" si="11"/>
        <v>0.56250000000000011</v>
      </c>
      <c r="K17" s="222"/>
    </row>
    <row r="18" spans="1:11" ht="19.5" hidden="1">
      <c r="A18" s="220"/>
      <c r="B18" s="221" t="s">
        <v>272</v>
      </c>
      <c r="C18" s="222" t="s">
        <v>206</v>
      </c>
      <c r="D18" s="223">
        <v>45372</v>
      </c>
      <c r="E18" s="224" t="s">
        <v>270</v>
      </c>
      <c r="F18" s="224" t="s">
        <v>270</v>
      </c>
      <c r="G18" s="226">
        <v>0.78472222222222221</v>
      </c>
      <c r="H18" s="227">
        <v>0.74305555555555558</v>
      </c>
      <c r="I18" s="227">
        <f t="shared" ref="I18:J18" si="12">H18-TIME(1,0,0)</f>
        <v>0.70138888888888895</v>
      </c>
      <c r="J18" s="227">
        <f t="shared" si="12"/>
        <v>0.65972222222222232</v>
      </c>
      <c r="K18" s="222"/>
    </row>
    <row r="19" spans="1:11" ht="19.5" hidden="1">
      <c r="A19" s="220"/>
      <c r="B19" s="221" t="s">
        <v>272</v>
      </c>
      <c r="C19" s="222" t="s">
        <v>206</v>
      </c>
      <c r="D19" s="223">
        <v>45372</v>
      </c>
      <c r="E19" s="224" t="s">
        <v>270</v>
      </c>
      <c r="F19" s="224" t="s">
        <v>270</v>
      </c>
      <c r="G19" s="226">
        <v>0.79861111111111116</v>
      </c>
      <c r="H19" s="227">
        <v>0.75694444444444453</v>
      </c>
      <c r="I19" s="227">
        <f t="shared" ref="I19:J19" si="13">H19-TIME(1,0,0)</f>
        <v>0.7152777777777779</v>
      </c>
      <c r="J19" s="227">
        <f t="shared" si="13"/>
        <v>0.67361111111111127</v>
      </c>
      <c r="K19" s="222"/>
    </row>
    <row r="20" spans="1:11" ht="19.5" hidden="1">
      <c r="A20" s="220"/>
      <c r="B20" s="221" t="s">
        <v>272</v>
      </c>
      <c r="C20" s="222" t="s">
        <v>206</v>
      </c>
      <c r="D20" s="223">
        <v>45372</v>
      </c>
      <c r="E20" s="224" t="s">
        <v>270</v>
      </c>
      <c r="F20" s="224" t="s">
        <v>270</v>
      </c>
      <c r="G20" s="226">
        <v>0.80902777777777779</v>
      </c>
      <c r="H20" s="227">
        <v>0.76736111111111116</v>
      </c>
      <c r="I20" s="227">
        <f t="shared" ref="I20:J20" si="14">H20-TIME(1,0,0)</f>
        <v>0.72569444444444453</v>
      </c>
      <c r="J20" s="227">
        <f t="shared" si="14"/>
        <v>0.6840277777777779</v>
      </c>
      <c r="K20" s="222"/>
    </row>
    <row r="21" spans="1:11" ht="19.5" hidden="1">
      <c r="A21" s="220"/>
      <c r="B21" s="221" t="s">
        <v>272</v>
      </c>
      <c r="C21" s="222" t="s">
        <v>206</v>
      </c>
      <c r="D21" s="223">
        <v>45372</v>
      </c>
      <c r="E21" s="224" t="s">
        <v>270</v>
      </c>
      <c r="F21" s="224" t="s">
        <v>270</v>
      </c>
      <c r="G21" s="226">
        <v>0.81597222222222221</v>
      </c>
      <c r="H21" s="227">
        <v>0.77430555555555558</v>
      </c>
      <c r="I21" s="227">
        <f t="shared" ref="I21:J21" si="15">H21-TIME(1,0,0)</f>
        <v>0.73263888888888895</v>
      </c>
      <c r="J21" s="227">
        <f t="shared" si="15"/>
        <v>0.69097222222222232</v>
      </c>
      <c r="K21" s="222"/>
    </row>
    <row r="22" spans="1:11" ht="19.5" hidden="1">
      <c r="A22" s="220"/>
      <c r="B22" s="221" t="s">
        <v>272</v>
      </c>
      <c r="C22" s="222" t="s">
        <v>206</v>
      </c>
      <c r="D22" s="223">
        <v>45372</v>
      </c>
      <c r="E22" s="224" t="s">
        <v>270</v>
      </c>
      <c r="F22" s="224" t="s">
        <v>270</v>
      </c>
      <c r="G22" s="226">
        <v>0.88888888888888884</v>
      </c>
      <c r="H22" s="227">
        <v>0.84722222222222221</v>
      </c>
      <c r="I22" s="227">
        <f t="shared" ref="I22:J22" si="16">H22-TIME(1,0,0)</f>
        <v>0.80555555555555558</v>
      </c>
      <c r="J22" s="227">
        <f t="shared" si="16"/>
        <v>0.76388888888888895</v>
      </c>
      <c r="K22" s="222"/>
    </row>
    <row r="23" spans="1:11" ht="19.5" hidden="1">
      <c r="A23" s="220"/>
      <c r="B23" s="221" t="s">
        <v>272</v>
      </c>
      <c r="C23" s="222" t="s">
        <v>206</v>
      </c>
      <c r="D23" s="223">
        <v>45372</v>
      </c>
      <c r="E23" s="224" t="s">
        <v>270</v>
      </c>
      <c r="F23" s="224" t="s">
        <v>270</v>
      </c>
      <c r="G23" s="226">
        <v>0.90277777777777779</v>
      </c>
      <c r="H23" s="227">
        <v>0.86111111111111116</v>
      </c>
      <c r="I23" s="227">
        <f t="shared" ref="I23:J23" si="17">H23-TIME(1,0,0)</f>
        <v>0.81944444444444453</v>
      </c>
      <c r="J23" s="227">
        <f t="shared" si="17"/>
        <v>0.7777777777777779</v>
      </c>
      <c r="K23" s="222"/>
    </row>
    <row r="24" spans="1:11" ht="19.5" hidden="1">
      <c r="A24" s="220"/>
      <c r="B24" s="221" t="s">
        <v>272</v>
      </c>
      <c r="C24" s="222" t="s">
        <v>206</v>
      </c>
      <c r="D24" s="223">
        <v>45372</v>
      </c>
      <c r="E24" s="224" t="s">
        <v>270</v>
      </c>
      <c r="F24" s="224" t="s">
        <v>270</v>
      </c>
      <c r="G24" s="226">
        <v>0.91319444444444442</v>
      </c>
      <c r="H24" s="227">
        <v>0.87152777777777779</v>
      </c>
      <c r="I24" s="227">
        <f t="shared" ref="I24:J24" si="18">H24-TIME(1,0,0)</f>
        <v>0.82986111111111116</v>
      </c>
      <c r="J24" s="227">
        <f t="shared" si="18"/>
        <v>0.78819444444444453</v>
      </c>
      <c r="K24" s="222"/>
    </row>
    <row r="25" spans="1:11" ht="19.5" hidden="1">
      <c r="A25" s="220"/>
      <c r="B25" s="221" t="s">
        <v>272</v>
      </c>
      <c r="C25" s="222" t="s">
        <v>206</v>
      </c>
      <c r="D25" s="223">
        <v>45372</v>
      </c>
      <c r="E25" s="224" t="s">
        <v>270</v>
      </c>
      <c r="F25" s="224" t="s">
        <v>270</v>
      </c>
      <c r="G25" s="226">
        <v>0.92013888888888884</v>
      </c>
      <c r="H25" s="227">
        <v>0.87847222222222221</v>
      </c>
      <c r="I25" s="227">
        <f t="shared" ref="I25:J25" si="19">H25-TIME(1,0,0)</f>
        <v>0.83680555555555558</v>
      </c>
      <c r="J25" s="227">
        <f t="shared" si="19"/>
        <v>0.79513888888888895</v>
      </c>
      <c r="K25" s="222"/>
    </row>
    <row r="26" spans="1:11" ht="19.5" hidden="1">
      <c r="A26" s="220"/>
      <c r="B26" s="221" t="s">
        <v>272</v>
      </c>
      <c r="C26" s="222" t="s">
        <v>208</v>
      </c>
      <c r="D26" s="223">
        <v>45373</v>
      </c>
      <c r="E26" s="224" t="s">
        <v>270</v>
      </c>
      <c r="F26" s="224" t="s">
        <v>270</v>
      </c>
      <c r="G26" s="226">
        <v>0.51041666666666663</v>
      </c>
      <c r="H26" s="227">
        <v>0.46874999999999994</v>
      </c>
      <c r="I26" s="227">
        <f t="shared" ref="I26:J26" si="20">H26-TIME(1,0,0)</f>
        <v>0.42708333333333326</v>
      </c>
      <c r="J26" s="227">
        <f t="shared" si="20"/>
        <v>0.38541666666666657</v>
      </c>
      <c r="K26" s="222"/>
    </row>
    <row r="27" spans="1:11" ht="19.5" hidden="1">
      <c r="A27" s="220"/>
      <c r="B27" s="221" t="s">
        <v>272</v>
      </c>
      <c r="C27" s="222" t="s">
        <v>208</v>
      </c>
      <c r="D27" s="223">
        <v>45373</v>
      </c>
      <c r="E27" s="224" t="s">
        <v>270</v>
      </c>
      <c r="F27" s="224" t="s">
        <v>270</v>
      </c>
      <c r="G27" s="226">
        <v>0.52777777777777779</v>
      </c>
      <c r="H27" s="227">
        <v>0.4861111111111111</v>
      </c>
      <c r="I27" s="227">
        <f t="shared" ref="I27:J27" si="21">H27-TIME(1,0,0)</f>
        <v>0.44444444444444442</v>
      </c>
      <c r="J27" s="227">
        <f t="shared" si="21"/>
        <v>0.40277777777777773</v>
      </c>
      <c r="K27" s="222"/>
    </row>
    <row r="28" spans="1:11" ht="19.5" hidden="1">
      <c r="A28" s="220"/>
      <c r="B28" s="221" t="s">
        <v>272</v>
      </c>
      <c r="C28" s="222" t="s">
        <v>208</v>
      </c>
      <c r="D28" s="223">
        <v>45373</v>
      </c>
      <c r="E28" s="224" t="s">
        <v>270</v>
      </c>
      <c r="F28" s="224" t="s">
        <v>270</v>
      </c>
      <c r="G28" s="226">
        <v>0.56944444444444442</v>
      </c>
      <c r="H28" s="227">
        <v>0.52777777777777779</v>
      </c>
      <c r="I28" s="227">
        <f t="shared" ref="I28:J28" si="22">H28-TIME(1,0,0)</f>
        <v>0.4861111111111111</v>
      </c>
      <c r="J28" s="227">
        <f t="shared" si="22"/>
        <v>0.44444444444444442</v>
      </c>
      <c r="K28" s="222"/>
    </row>
    <row r="29" spans="1:11" ht="19.5" hidden="1">
      <c r="A29" s="220"/>
      <c r="B29" s="221" t="s">
        <v>272</v>
      </c>
      <c r="C29" s="222" t="s">
        <v>208</v>
      </c>
      <c r="D29" s="223">
        <v>45373</v>
      </c>
      <c r="E29" s="224" t="s">
        <v>270</v>
      </c>
      <c r="F29" s="224" t="s">
        <v>270</v>
      </c>
      <c r="G29" s="226">
        <v>0.58333333333333337</v>
      </c>
      <c r="H29" s="227">
        <v>0.54166666666666674</v>
      </c>
      <c r="I29" s="227">
        <f t="shared" ref="I29:J29" si="23">H29-TIME(1,0,0)</f>
        <v>0.50000000000000011</v>
      </c>
      <c r="J29" s="227">
        <f t="shared" si="23"/>
        <v>0.45833333333333343</v>
      </c>
      <c r="K29" s="222"/>
    </row>
    <row r="30" spans="1:11" ht="19.5" hidden="1">
      <c r="A30" s="220"/>
      <c r="B30" s="221" t="s">
        <v>272</v>
      </c>
      <c r="C30" s="222" t="s">
        <v>208</v>
      </c>
      <c r="D30" s="223">
        <v>45373</v>
      </c>
      <c r="E30" s="224" t="s">
        <v>270</v>
      </c>
      <c r="F30" s="224" t="s">
        <v>270</v>
      </c>
      <c r="G30" s="226">
        <v>0.61458333333333337</v>
      </c>
      <c r="H30" s="227">
        <v>0.57291666666666674</v>
      </c>
      <c r="I30" s="227">
        <f t="shared" ref="I30:J30" si="24">H30-TIME(1,0,0)</f>
        <v>0.53125000000000011</v>
      </c>
      <c r="J30" s="227">
        <f t="shared" si="24"/>
        <v>0.48958333333333343</v>
      </c>
      <c r="K30" s="222"/>
    </row>
    <row r="31" spans="1:11" ht="19.5" hidden="1">
      <c r="A31" s="220"/>
      <c r="B31" s="221" t="s">
        <v>272</v>
      </c>
      <c r="C31" s="222" t="s">
        <v>208</v>
      </c>
      <c r="D31" s="223">
        <v>45373</v>
      </c>
      <c r="E31" s="224" t="s">
        <v>270</v>
      </c>
      <c r="F31" s="224" t="s">
        <v>270</v>
      </c>
      <c r="G31" s="226">
        <v>0.63194444444444442</v>
      </c>
      <c r="H31" s="227">
        <v>0.59027777777777779</v>
      </c>
      <c r="I31" s="227">
        <f t="shared" ref="I31:J31" si="25">H31-TIME(1,0,0)</f>
        <v>0.54861111111111116</v>
      </c>
      <c r="J31" s="227">
        <f t="shared" si="25"/>
        <v>0.50694444444444453</v>
      </c>
      <c r="K31" s="222"/>
    </row>
    <row r="32" spans="1:11" ht="19.5" hidden="1">
      <c r="A32" s="220"/>
      <c r="B32" s="221" t="s">
        <v>272</v>
      </c>
      <c r="C32" s="222" t="s">
        <v>208</v>
      </c>
      <c r="D32" s="223">
        <v>45373</v>
      </c>
      <c r="E32" s="224" t="s">
        <v>270</v>
      </c>
      <c r="F32" s="224" t="s">
        <v>270</v>
      </c>
      <c r="G32" s="226">
        <v>0.67361111111111116</v>
      </c>
      <c r="H32" s="227">
        <v>0.63194444444444453</v>
      </c>
      <c r="I32" s="227">
        <f t="shared" ref="I32:J32" si="26">H32-TIME(1,0,0)</f>
        <v>0.5902777777777779</v>
      </c>
      <c r="J32" s="227">
        <f t="shared" si="26"/>
        <v>0.54861111111111127</v>
      </c>
      <c r="K32" s="222"/>
    </row>
    <row r="33" spans="1:11" ht="19.5" hidden="1">
      <c r="A33" s="220"/>
      <c r="B33" s="221" t="s">
        <v>272</v>
      </c>
      <c r="C33" s="222" t="s">
        <v>208</v>
      </c>
      <c r="D33" s="223">
        <v>45373</v>
      </c>
      <c r="E33" s="224" t="s">
        <v>270</v>
      </c>
      <c r="F33" s="224" t="s">
        <v>270</v>
      </c>
      <c r="G33" s="226">
        <v>0.6875</v>
      </c>
      <c r="H33" s="227">
        <v>0.64583333333333337</v>
      </c>
      <c r="I33" s="227">
        <f t="shared" ref="I33:J33" si="27">H33-TIME(1,0,0)</f>
        <v>0.60416666666666674</v>
      </c>
      <c r="J33" s="227">
        <f t="shared" si="27"/>
        <v>0.56250000000000011</v>
      </c>
      <c r="K33" s="222"/>
    </row>
    <row r="34" spans="1:11" ht="19.5" hidden="1">
      <c r="A34" s="220"/>
      <c r="B34" s="221" t="s">
        <v>272</v>
      </c>
      <c r="C34" s="222" t="s">
        <v>208</v>
      </c>
      <c r="D34" s="223">
        <v>45373</v>
      </c>
      <c r="E34" s="224" t="s">
        <v>270</v>
      </c>
      <c r="F34" s="224" t="s">
        <v>270</v>
      </c>
      <c r="G34" s="226">
        <v>0.78472222222222221</v>
      </c>
      <c r="H34" s="227">
        <v>0.74305555555555558</v>
      </c>
      <c r="I34" s="227">
        <f t="shared" ref="I34:J34" si="28">H34-TIME(1,0,0)</f>
        <v>0.70138888888888895</v>
      </c>
      <c r="J34" s="227">
        <f t="shared" si="28"/>
        <v>0.65972222222222232</v>
      </c>
      <c r="K34" s="222"/>
    </row>
    <row r="35" spans="1:11" ht="19.5" hidden="1">
      <c r="A35" s="220"/>
      <c r="B35" s="221" t="s">
        <v>272</v>
      </c>
      <c r="C35" s="222" t="s">
        <v>208</v>
      </c>
      <c r="D35" s="223">
        <v>45373</v>
      </c>
      <c r="E35" s="224" t="s">
        <v>270</v>
      </c>
      <c r="F35" s="224" t="s">
        <v>270</v>
      </c>
      <c r="G35" s="226">
        <v>0.79861111111111116</v>
      </c>
      <c r="H35" s="227">
        <v>0.75694444444444453</v>
      </c>
      <c r="I35" s="227">
        <f t="shared" ref="I35:J35" si="29">H35-TIME(1,0,0)</f>
        <v>0.7152777777777779</v>
      </c>
      <c r="J35" s="227">
        <f t="shared" si="29"/>
        <v>0.67361111111111127</v>
      </c>
      <c r="K35" s="222"/>
    </row>
    <row r="36" spans="1:11" ht="19.5" hidden="1">
      <c r="A36" s="220"/>
      <c r="B36" s="221" t="s">
        <v>272</v>
      </c>
      <c r="C36" s="222" t="s">
        <v>208</v>
      </c>
      <c r="D36" s="223">
        <v>45373</v>
      </c>
      <c r="E36" s="224" t="s">
        <v>270</v>
      </c>
      <c r="F36" s="224" t="s">
        <v>270</v>
      </c>
      <c r="G36" s="226">
        <v>0.80902777777777779</v>
      </c>
      <c r="H36" s="227">
        <v>0.76736111111111116</v>
      </c>
      <c r="I36" s="227">
        <f t="shared" ref="I36:J36" si="30">H36-TIME(1,0,0)</f>
        <v>0.72569444444444453</v>
      </c>
      <c r="J36" s="227">
        <f t="shared" si="30"/>
        <v>0.6840277777777779</v>
      </c>
      <c r="K36" s="222"/>
    </row>
    <row r="37" spans="1:11" ht="19.5" hidden="1">
      <c r="A37" s="220"/>
      <c r="B37" s="221" t="s">
        <v>272</v>
      </c>
      <c r="C37" s="222" t="s">
        <v>208</v>
      </c>
      <c r="D37" s="223">
        <v>45373</v>
      </c>
      <c r="E37" s="224" t="s">
        <v>270</v>
      </c>
      <c r="F37" s="224" t="s">
        <v>270</v>
      </c>
      <c r="G37" s="226">
        <v>0.81597222222222221</v>
      </c>
      <c r="H37" s="227">
        <v>0.77430555555555558</v>
      </c>
      <c r="I37" s="227">
        <f t="shared" ref="I37:J37" si="31">H37-TIME(1,0,0)</f>
        <v>0.73263888888888895</v>
      </c>
      <c r="J37" s="227">
        <f t="shared" si="31"/>
        <v>0.69097222222222232</v>
      </c>
      <c r="K37" s="222"/>
    </row>
    <row r="38" spans="1:11" ht="19.5" hidden="1">
      <c r="A38" s="220"/>
      <c r="B38" s="221" t="s">
        <v>272</v>
      </c>
      <c r="C38" s="222" t="s">
        <v>208</v>
      </c>
      <c r="D38" s="223">
        <v>45373</v>
      </c>
      <c r="E38" s="224" t="s">
        <v>270</v>
      </c>
      <c r="F38" s="224" t="s">
        <v>270</v>
      </c>
      <c r="G38" s="226">
        <v>0.88888888888888884</v>
      </c>
      <c r="H38" s="227">
        <v>0.84722222222222221</v>
      </c>
      <c r="I38" s="227">
        <f t="shared" ref="I38:J38" si="32">H38-TIME(1,0,0)</f>
        <v>0.80555555555555558</v>
      </c>
      <c r="J38" s="227">
        <f t="shared" si="32"/>
        <v>0.76388888888888895</v>
      </c>
      <c r="K38" s="222"/>
    </row>
    <row r="39" spans="1:11" ht="19.5" hidden="1">
      <c r="A39" s="220"/>
      <c r="B39" s="221" t="s">
        <v>272</v>
      </c>
      <c r="C39" s="222" t="s">
        <v>208</v>
      </c>
      <c r="D39" s="223">
        <v>45373</v>
      </c>
      <c r="E39" s="224" t="s">
        <v>270</v>
      </c>
      <c r="F39" s="224" t="s">
        <v>270</v>
      </c>
      <c r="G39" s="226">
        <v>0.90277777777777779</v>
      </c>
      <c r="H39" s="227">
        <v>0.86111111111111116</v>
      </c>
      <c r="I39" s="227">
        <f t="shared" ref="I39:J39" si="33">H39-TIME(1,0,0)</f>
        <v>0.81944444444444453</v>
      </c>
      <c r="J39" s="227">
        <f t="shared" si="33"/>
        <v>0.7777777777777779</v>
      </c>
      <c r="K39" s="222"/>
    </row>
    <row r="40" spans="1:11" ht="19.5" hidden="1">
      <c r="A40" s="220"/>
      <c r="B40" s="221" t="s">
        <v>272</v>
      </c>
      <c r="C40" s="222" t="s">
        <v>208</v>
      </c>
      <c r="D40" s="223">
        <v>45373</v>
      </c>
      <c r="E40" s="224" t="s">
        <v>270</v>
      </c>
      <c r="F40" s="224" t="s">
        <v>270</v>
      </c>
      <c r="G40" s="226">
        <v>0.91319444444444442</v>
      </c>
      <c r="H40" s="227">
        <v>0.87152777777777779</v>
      </c>
      <c r="I40" s="227">
        <f t="shared" ref="I40:J40" si="34">H40-TIME(1,0,0)</f>
        <v>0.82986111111111116</v>
      </c>
      <c r="J40" s="227">
        <f t="shared" si="34"/>
        <v>0.78819444444444453</v>
      </c>
      <c r="K40" s="222"/>
    </row>
    <row r="41" spans="1:11" ht="19.5" hidden="1">
      <c r="A41" s="220"/>
      <c r="B41" s="221" t="s">
        <v>272</v>
      </c>
      <c r="C41" s="222" t="s">
        <v>208</v>
      </c>
      <c r="D41" s="223">
        <v>45373</v>
      </c>
      <c r="E41" s="224" t="s">
        <v>270</v>
      </c>
      <c r="F41" s="224" t="s">
        <v>270</v>
      </c>
      <c r="G41" s="226">
        <v>0.92013888888888884</v>
      </c>
      <c r="H41" s="227">
        <v>0.87847222222222221</v>
      </c>
      <c r="I41" s="227">
        <f t="shared" ref="I41:J41" si="35">H41-TIME(1,0,0)</f>
        <v>0.83680555555555558</v>
      </c>
      <c r="J41" s="227">
        <f t="shared" si="35"/>
        <v>0.79513888888888895</v>
      </c>
      <c r="K41" s="222"/>
    </row>
    <row r="42" spans="1:11" ht="19.5" hidden="1">
      <c r="A42" s="220"/>
      <c r="B42" s="221" t="s">
        <v>273</v>
      </c>
      <c r="C42" s="222" t="s">
        <v>212</v>
      </c>
      <c r="D42" s="223">
        <v>45374</v>
      </c>
      <c r="E42" s="224" t="s">
        <v>270</v>
      </c>
      <c r="F42" s="224" t="s">
        <v>270</v>
      </c>
      <c r="G42" s="227">
        <v>0.5</v>
      </c>
      <c r="H42" s="227">
        <v>0.45833333333333331</v>
      </c>
      <c r="I42" s="227">
        <f t="shared" ref="I42:J42" si="36">H42-TIME(1,0,0)</f>
        <v>0.41666666666666663</v>
      </c>
      <c r="J42" s="227">
        <f t="shared" si="36"/>
        <v>0.37499999999999994</v>
      </c>
      <c r="K42" s="222"/>
    </row>
    <row r="43" spans="1:11" ht="19.5" hidden="1">
      <c r="A43" s="220"/>
      <c r="B43" s="221" t="s">
        <v>273</v>
      </c>
      <c r="C43" s="222" t="s">
        <v>212</v>
      </c>
      <c r="D43" s="223">
        <v>45374</v>
      </c>
      <c r="E43" s="224" t="s">
        <v>270</v>
      </c>
      <c r="F43" s="224" t="s">
        <v>270</v>
      </c>
      <c r="G43" s="227">
        <v>0.60416666666666663</v>
      </c>
      <c r="H43" s="227">
        <v>0.5625</v>
      </c>
      <c r="I43" s="227">
        <f t="shared" ref="I43:J43" si="37">H43-TIME(1,0,0)</f>
        <v>0.52083333333333337</v>
      </c>
      <c r="J43" s="227">
        <f t="shared" si="37"/>
        <v>0.47916666666666669</v>
      </c>
      <c r="K43" s="222"/>
    </row>
    <row r="44" spans="1:11" ht="19.5" hidden="1">
      <c r="A44" s="220"/>
      <c r="B44" s="221" t="s">
        <v>273</v>
      </c>
      <c r="C44" s="222" t="s">
        <v>212</v>
      </c>
      <c r="D44" s="223">
        <v>45374</v>
      </c>
      <c r="E44" s="224" t="s">
        <v>270</v>
      </c>
      <c r="F44" s="224" t="s">
        <v>270</v>
      </c>
      <c r="G44" s="227">
        <v>0.70833333333333337</v>
      </c>
      <c r="H44" s="227">
        <v>0.66666666666666674</v>
      </c>
      <c r="I44" s="227">
        <f t="shared" ref="I44:J44" si="38">H44-TIME(1,0,0)</f>
        <v>0.62500000000000011</v>
      </c>
      <c r="J44" s="227">
        <f t="shared" si="38"/>
        <v>0.58333333333333348</v>
      </c>
      <c r="K44" s="222"/>
    </row>
    <row r="45" spans="1:11" ht="19.5" hidden="1">
      <c r="A45" s="220"/>
      <c r="B45" s="221" t="s">
        <v>273</v>
      </c>
      <c r="C45" s="222" t="s">
        <v>212</v>
      </c>
      <c r="D45" s="223">
        <v>45374</v>
      </c>
      <c r="E45" s="224" t="s">
        <v>270</v>
      </c>
      <c r="F45" s="224" t="s">
        <v>270</v>
      </c>
      <c r="G45" s="227">
        <v>0.75</v>
      </c>
      <c r="H45" s="227">
        <v>0.70833333333333337</v>
      </c>
      <c r="I45" s="227">
        <f t="shared" ref="I45:J45" si="39">H45-TIME(1,0,0)</f>
        <v>0.66666666666666674</v>
      </c>
      <c r="J45" s="227">
        <f t="shared" si="39"/>
        <v>0.62500000000000011</v>
      </c>
      <c r="K45" s="222"/>
    </row>
    <row r="46" spans="1:11" ht="19.5" hidden="1">
      <c r="A46" s="220"/>
      <c r="B46" s="221" t="s">
        <v>273</v>
      </c>
      <c r="C46" s="222" t="s">
        <v>212</v>
      </c>
      <c r="D46" s="223">
        <v>45374</v>
      </c>
      <c r="E46" s="224" t="s">
        <v>270</v>
      </c>
      <c r="F46" s="224" t="s">
        <v>270</v>
      </c>
      <c r="G46" s="227">
        <v>0.79166666666666663</v>
      </c>
      <c r="H46" s="227">
        <v>0.75</v>
      </c>
      <c r="I46" s="227">
        <f t="shared" ref="I46:J46" si="40">H46-TIME(1,0,0)</f>
        <v>0.70833333333333337</v>
      </c>
      <c r="J46" s="227">
        <f t="shared" si="40"/>
        <v>0.66666666666666674</v>
      </c>
      <c r="K46" s="222"/>
    </row>
    <row r="47" spans="1:11" ht="19.5" hidden="1">
      <c r="A47" s="220"/>
      <c r="B47" s="221" t="s">
        <v>273</v>
      </c>
      <c r="C47" s="222" t="s">
        <v>212</v>
      </c>
      <c r="D47" s="223">
        <v>45374</v>
      </c>
      <c r="E47" s="224" t="s">
        <v>270</v>
      </c>
      <c r="F47" s="224" t="s">
        <v>270</v>
      </c>
      <c r="G47" s="227">
        <v>0.8125</v>
      </c>
      <c r="H47" s="227">
        <v>0.77083333333333337</v>
      </c>
      <c r="I47" s="227">
        <f t="shared" ref="I47:J47" si="41">H47-TIME(1,0,0)</f>
        <v>0.72916666666666674</v>
      </c>
      <c r="J47" s="227">
        <f t="shared" si="41"/>
        <v>0.68750000000000011</v>
      </c>
      <c r="K47" s="222"/>
    </row>
    <row r="48" spans="1:11" ht="19.5" hidden="1">
      <c r="A48" s="220"/>
      <c r="B48" s="221" t="s">
        <v>273</v>
      </c>
      <c r="C48" s="222" t="s">
        <v>212</v>
      </c>
      <c r="D48" s="223">
        <v>45374</v>
      </c>
      <c r="E48" s="224" t="s">
        <v>270</v>
      </c>
      <c r="F48" s="224" t="s">
        <v>270</v>
      </c>
      <c r="G48" s="227">
        <v>0.85416666666666663</v>
      </c>
      <c r="H48" s="227">
        <v>0.8125</v>
      </c>
      <c r="I48" s="227">
        <f t="shared" ref="I48:J48" si="42">H48-TIME(1,0,0)</f>
        <v>0.77083333333333337</v>
      </c>
      <c r="J48" s="227">
        <f t="shared" si="42"/>
        <v>0.72916666666666674</v>
      </c>
      <c r="K48" s="222"/>
    </row>
    <row r="49" spans="1:11" ht="19.5" hidden="1">
      <c r="A49" s="220"/>
      <c r="B49" s="221" t="s">
        <v>273</v>
      </c>
      <c r="C49" s="222" t="s">
        <v>212</v>
      </c>
      <c r="D49" s="223">
        <v>45374</v>
      </c>
      <c r="E49" s="224" t="s">
        <v>270</v>
      </c>
      <c r="F49" s="224" t="s">
        <v>270</v>
      </c>
      <c r="G49" s="227">
        <v>0.89583333333333337</v>
      </c>
      <c r="H49" s="227">
        <v>0.85416666666666674</v>
      </c>
      <c r="I49" s="227">
        <f t="shared" ref="I49:J49" si="43">H49-TIME(1,0,0)</f>
        <v>0.81250000000000011</v>
      </c>
      <c r="J49" s="227">
        <f t="shared" si="43"/>
        <v>0.77083333333333348</v>
      </c>
      <c r="K49" s="222"/>
    </row>
    <row r="50" spans="1:11" ht="19.5" hidden="1">
      <c r="A50" s="220"/>
      <c r="B50" s="221" t="s">
        <v>273</v>
      </c>
      <c r="C50" s="222" t="s">
        <v>216</v>
      </c>
      <c r="D50" s="223">
        <v>45375</v>
      </c>
      <c r="E50" s="224" t="s">
        <v>270</v>
      </c>
      <c r="F50" s="224" t="s">
        <v>270</v>
      </c>
      <c r="G50" s="227">
        <v>0.5</v>
      </c>
      <c r="H50" s="227">
        <v>0.45833333333333331</v>
      </c>
      <c r="I50" s="227">
        <f t="shared" ref="I50:J50" si="44">H50-TIME(1,0,0)</f>
        <v>0.41666666666666663</v>
      </c>
      <c r="J50" s="227">
        <f t="shared" si="44"/>
        <v>0.37499999999999994</v>
      </c>
      <c r="K50" s="222"/>
    </row>
    <row r="51" spans="1:11" ht="19.5" hidden="1">
      <c r="A51" s="220"/>
      <c r="B51" s="221" t="s">
        <v>273</v>
      </c>
      <c r="C51" s="222" t="s">
        <v>216</v>
      </c>
      <c r="D51" s="223">
        <v>45375</v>
      </c>
      <c r="E51" s="224" t="s">
        <v>270</v>
      </c>
      <c r="F51" s="224" t="s">
        <v>270</v>
      </c>
      <c r="G51" s="227">
        <v>0.60416666666666663</v>
      </c>
      <c r="H51" s="227">
        <v>0.5625</v>
      </c>
      <c r="I51" s="227">
        <f t="shared" ref="I51:J51" si="45">H51-TIME(1,0,0)</f>
        <v>0.52083333333333337</v>
      </c>
      <c r="J51" s="227">
        <f t="shared" si="45"/>
        <v>0.47916666666666669</v>
      </c>
      <c r="K51" s="222"/>
    </row>
    <row r="52" spans="1:11" ht="19.5" hidden="1">
      <c r="A52" s="220"/>
      <c r="B52" s="221" t="s">
        <v>273</v>
      </c>
      <c r="C52" s="222" t="s">
        <v>216</v>
      </c>
      <c r="D52" s="223">
        <v>45375</v>
      </c>
      <c r="E52" s="224" t="s">
        <v>270</v>
      </c>
      <c r="F52" s="224" t="s">
        <v>270</v>
      </c>
      <c r="G52" s="227">
        <v>0.70833333333333337</v>
      </c>
      <c r="H52" s="227">
        <v>0.66666666666666674</v>
      </c>
      <c r="I52" s="227">
        <f t="shared" ref="I52:J52" si="46">H52-TIME(1,0,0)</f>
        <v>0.62500000000000011</v>
      </c>
      <c r="J52" s="227">
        <f t="shared" si="46"/>
        <v>0.58333333333333348</v>
      </c>
      <c r="K52" s="222"/>
    </row>
    <row r="53" spans="1:11" ht="19.5" hidden="1">
      <c r="A53" s="220"/>
      <c r="B53" s="221" t="s">
        <v>273</v>
      </c>
      <c r="C53" s="222" t="s">
        <v>216</v>
      </c>
      <c r="D53" s="223">
        <v>45375</v>
      </c>
      <c r="E53" s="224" t="s">
        <v>270</v>
      </c>
      <c r="F53" s="224" t="s">
        <v>270</v>
      </c>
      <c r="G53" s="227">
        <v>0.75</v>
      </c>
      <c r="H53" s="227">
        <v>0.70833333333333337</v>
      </c>
      <c r="I53" s="227">
        <f t="shared" ref="I53:J53" si="47">H53-TIME(1,0,0)</f>
        <v>0.66666666666666674</v>
      </c>
      <c r="J53" s="227">
        <f t="shared" si="47"/>
        <v>0.62500000000000011</v>
      </c>
      <c r="K53" s="222"/>
    </row>
    <row r="54" spans="1:11" ht="19.5" hidden="1">
      <c r="A54" s="220"/>
      <c r="B54" s="221" t="s">
        <v>273</v>
      </c>
      <c r="C54" s="222" t="s">
        <v>216</v>
      </c>
      <c r="D54" s="223">
        <v>45375</v>
      </c>
      <c r="E54" s="224" t="s">
        <v>270</v>
      </c>
      <c r="F54" s="224" t="s">
        <v>270</v>
      </c>
      <c r="G54" s="227">
        <v>0.79166666666666663</v>
      </c>
      <c r="H54" s="227">
        <v>0.75</v>
      </c>
      <c r="I54" s="227">
        <f t="shared" ref="I54:J54" si="48">H54-TIME(1,0,0)</f>
        <v>0.70833333333333337</v>
      </c>
      <c r="J54" s="227">
        <f t="shared" si="48"/>
        <v>0.66666666666666674</v>
      </c>
      <c r="K54" s="222"/>
    </row>
    <row r="55" spans="1:11" ht="19.5" hidden="1">
      <c r="A55" s="220"/>
      <c r="B55" s="221" t="s">
        <v>273</v>
      </c>
      <c r="C55" s="222" t="s">
        <v>216</v>
      </c>
      <c r="D55" s="223">
        <v>45375</v>
      </c>
      <c r="E55" s="224" t="s">
        <v>270</v>
      </c>
      <c r="F55" s="224" t="s">
        <v>270</v>
      </c>
      <c r="G55" s="227">
        <v>0.8125</v>
      </c>
      <c r="H55" s="227">
        <v>0.77083333333333337</v>
      </c>
      <c r="I55" s="227">
        <f t="shared" ref="I55:J55" si="49">H55-TIME(1,0,0)</f>
        <v>0.72916666666666674</v>
      </c>
      <c r="J55" s="227">
        <f t="shared" si="49"/>
        <v>0.68750000000000011</v>
      </c>
      <c r="K55" s="222"/>
    </row>
    <row r="56" spans="1:11" ht="19.5" hidden="1">
      <c r="A56" s="220"/>
      <c r="B56" s="221" t="s">
        <v>273</v>
      </c>
      <c r="C56" s="222" t="s">
        <v>216</v>
      </c>
      <c r="D56" s="223">
        <v>45375</v>
      </c>
      <c r="E56" s="224" t="s">
        <v>270</v>
      </c>
      <c r="F56" s="224" t="s">
        <v>270</v>
      </c>
      <c r="G56" s="227">
        <v>0.85416666666666663</v>
      </c>
      <c r="H56" s="227">
        <v>0.8125</v>
      </c>
      <c r="I56" s="227">
        <f t="shared" ref="I56:J56" si="50">H56-TIME(1,0,0)</f>
        <v>0.77083333333333337</v>
      </c>
      <c r="J56" s="227">
        <f t="shared" si="50"/>
        <v>0.72916666666666674</v>
      </c>
      <c r="K56" s="222"/>
    </row>
    <row r="57" spans="1:11" ht="19.5" hidden="1">
      <c r="A57" s="220"/>
      <c r="B57" s="221" t="s">
        <v>273</v>
      </c>
      <c r="C57" s="222" t="s">
        <v>216</v>
      </c>
      <c r="D57" s="223">
        <v>45375</v>
      </c>
      <c r="E57" s="224" t="s">
        <v>270</v>
      </c>
      <c r="F57" s="224" t="s">
        <v>270</v>
      </c>
      <c r="G57" s="227">
        <v>0.89583333333333337</v>
      </c>
      <c r="H57" s="227">
        <v>0.85416666666666674</v>
      </c>
      <c r="I57" s="227">
        <f t="shared" ref="I57:J57" si="51">H57-TIME(1,0,0)</f>
        <v>0.81250000000000011</v>
      </c>
      <c r="J57" s="227">
        <f t="shared" si="51"/>
        <v>0.77083333333333348</v>
      </c>
      <c r="K57" s="222"/>
    </row>
    <row r="58" spans="1:11" ht="19.5">
      <c r="A58" s="220"/>
      <c r="B58" s="221" t="s">
        <v>274</v>
      </c>
      <c r="C58" s="222" t="s">
        <v>206</v>
      </c>
      <c r="D58" s="223">
        <v>45379</v>
      </c>
      <c r="E58" s="224" t="s">
        <v>270</v>
      </c>
      <c r="F58" s="224" t="s">
        <v>270</v>
      </c>
      <c r="G58" s="227">
        <v>0.79166666666666663</v>
      </c>
      <c r="H58" s="227">
        <v>0.75</v>
      </c>
      <c r="I58" s="227">
        <f t="shared" ref="I58:J58" si="52">H58-TIME(1,0,0)</f>
        <v>0.70833333333333337</v>
      </c>
      <c r="J58" s="227">
        <f t="shared" si="52"/>
        <v>0.66666666666666674</v>
      </c>
      <c r="K58" s="222"/>
    </row>
    <row r="59" spans="1:11" ht="19.5">
      <c r="A59" s="220"/>
      <c r="B59" s="221" t="s">
        <v>274</v>
      </c>
      <c r="C59" s="222" t="s">
        <v>206</v>
      </c>
      <c r="D59" s="223">
        <v>45379</v>
      </c>
      <c r="E59" s="224" t="s">
        <v>270</v>
      </c>
      <c r="F59" s="224" t="s">
        <v>270</v>
      </c>
      <c r="G59" s="227">
        <v>0.8125</v>
      </c>
      <c r="H59" s="227">
        <v>0.77083333333333337</v>
      </c>
      <c r="I59" s="227">
        <f t="shared" ref="I59:J59" si="53">H59-TIME(1,0,0)</f>
        <v>0.72916666666666674</v>
      </c>
      <c r="J59" s="227">
        <f t="shared" si="53"/>
        <v>0.68750000000000011</v>
      </c>
      <c r="K59" s="222"/>
    </row>
    <row r="60" spans="1:11" ht="19.5">
      <c r="A60" s="220"/>
      <c r="B60" s="221" t="s">
        <v>274</v>
      </c>
      <c r="C60" s="222" t="s">
        <v>206</v>
      </c>
      <c r="D60" s="223">
        <v>45379</v>
      </c>
      <c r="E60" s="224" t="s">
        <v>270</v>
      </c>
      <c r="F60" s="224" t="s">
        <v>270</v>
      </c>
      <c r="G60" s="226">
        <v>0.86458333333333337</v>
      </c>
      <c r="H60" s="227">
        <v>0.82291666666666674</v>
      </c>
      <c r="I60" s="227">
        <f t="shared" ref="I60:J60" si="54">H60-TIME(1,0,0)</f>
        <v>0.78125000000000011</v>
      </c>
      <c r="J60" s="227">
        <f t="shared" si="54"/>
        <v>0.73958333333333348</v>
      </c>
      <c r="K60" s="222"/>
    </row>
    <row r="61" spans="1:11" ht="19.5">
      <c r="A61" s="220"/>
      <c r="B61" s="221" t="s">
        <v>274</v>
      </c>
      <c r="C61" s="222" t="s">
        <v>206</v>
      </c>
      <c r="D61" s="223">
        <v>45379</v>
      </c>
      <c r="E61" s="224" t="s">
        <v>270</v>
      </c>
      <c r="F61" s="224" t="s">
        <v>270</v>
      </c>
      <c r="G61" s="227">
        <v>0.89583333333333337</v>
      </c>
      <c r="H61" s="227">
        <v>0.85416666666666674</v>
      </c>
      <c r="I61" s="227">
        <f t="shared" ref="I61:J61" si="55">H61-TIME(1,0,0)</f>
        <v>0.81250000000000011</v>
      </c>
      <c r="J61" s="227">
        <f t="shared" si="55"/>
        <v>0.77083333333333348</v>
      </c>
      <c r="K61" s="222"/>
    </row>
    <row r="62" spans="1:11" ht="19.5">
      <c r="A62" s="220"/>
      <c r="B62" s="221" t="s">
        <v>274</v>
      </c>
      <c r="C62" s="222" t="s">
        <v>208</v>
      </c>
      <c r="D62" s="223">
        <v>45380</v>
      </c>
      <c r="E62" s="224" t="s">
        <v>270</v>
      </c>
      <c r="F62" s="224" t="s">
        <v>270</v>
      </c>
      <c r="G62" s="227">
        <v>0.79166666666666663</v>
      </c>
      <c r="H62" s="227">
        <v>0.75</v>
      </c>
      <c r="I62" s="227">
        <f t="shared" ref="I62:J62" si="56">H62-TIME(1,0,0)</f>
        <v>0.70833333333333337</v>
      </c>
      <c r="J62" s="227">
        <f t="shared" si="56"/>
        <v>0.66666666666666674</v>
      </c>
      <c r="K62" s="222"/>
    </row>
    <row r="63" spans="1:11" ht="19.5">
      <c r="A63" s="220"/>
      <c r="B63" s="221" t="s">
        <v>274</v>
      </c>
      <c r="C63" s="222" t="s">
        <v>208</v>
      </c>
      <c r="D63" s="223">
        <v>45380</v>
      </c>
      <c r="E63" s="224" t="s">
        <v>270</v>
      </c>
      <c r="F63" s="224" t="s">
        <v>270</v>
      </c>
      <c r="G63" s="227">
        <v>0.8125</v>
      </c>
      <c r="H63" s="227">
        <v>0.77083333333333337</v>
      </c>
      <c r="I63" s="227">
        <f t="shared" ref="I63:J63" si="57">H63-TIME(1,0,0)</f>
        <v>0.72916666666666674</v>
      </c>
      <c r="J63" s="227">
        <f t="shared" si="57"/>
        <v>0.68750000000000011</v>
      </c>
      <c r="K63" s="222"/>
    </row>
    <row r="64" spans="1:11" ht="19.5">
      <c r="A64" s="220"/>
      <c r="B64" s="221" t="s">
        <v>274</v>
      </c>
      <c r="C64" s="222" t="s">
        <v>208</v>
      </c>
      <c r="D64" s="223">
        <v>45380</v>
      </c>
      <c r="E64" s="224" t="s">
        <v>270</v>
      </c>
      <c r="F64" s="224" t="s">
        <v>270</v>
      </c>
      <c r="G64" s="226">
        <v>0.86458333333333337</v>
      </c>
      <c r="H64" s="227">
        <v>0.82291666666666674</v>
      </c>
      <c r="I64" s="227">
        <f t="shared" ref="I64:J64" si="58">H64-TIME(1,0,0)</f>
        <v>0.78125000000000011</v>
      </c>
      <c r="J64" s="227">
        <f t="shared" si="58"/>
        <v>0.73958333333333348</v>
      </c>
      <c r="K64" s="222"/>
    </row>
    <row r="65" spans="1:11" ht="19.5">
      <c r="A65" s="220"/>
      <c r="B65" s="221" t="s">
        <v>274</v>
      </c>
      <c r="C65" s="222" t="s">
        <v>208</v>
      </c>
      <c r="D65" s="223">
        <v>45380</v>
      </c>
      <c r="E65" s="224" t="s">
        <v>270</v>
      </c>
      <c r="F65" s="224" t="s">
        <v>270</v>
      </c>
      <c r="G65" s="227">
        <v>0.89583333333333337</v>
      </c>
      <c r="H65" s="227">
        <v>0.85416666666666674</v>
      </c>
      <c r="I65" s="227">
        <f t="shared" ref="I65:J65" si="59">H65-TIME(1,0,0)</f>
        <v>0.81250000000000011</v>
      </c>
      <c r="J65" s="227">
        <f t="shared" si="59"/>
        <v>0.77083333333333348</v>
      </c>
      <c r="K65" s="222"/>
    </row>
    <row r="66" spans="1:11" ht="19.5">
      <c r="A66" s="220"/>
      <c r="B66" s="221" t="s">
        <v>275</v>
      </c>
      <c r="C66" s="222" t="s">
        <v>212</v>
      </c>
      <c r="D66" s="223">
        <v>45381</v>
      </c>
      <c r="E66" s="224" t="s">
        <v>270</v>
      </c>
      <c r="F66" s="224" t="s">
        <v>270</v>
      </c>
      <c r="G66" s="228">
        <v>0.75</v>
      </c>
      <c r="H66" s="227">
        <v>0.70833333333333337</v>
      </c>
      <c r="I66" s="227">
        <f t="shared" ref="I66:J66" si="60">H66-TIME(1,0,0)</f>
        <v>0.66666666666666674</v>
      </c>
      <c r="J66" s="227">
        <f t="shared" si="60"/>
        <v>0.62500000000000011</v>
      </c>
      <c r="K66" s="222"/>
    </row>
    <row r="67" spans="1:11" ht="19.5">
      <c r="A67" s="220"/>
      <c r="B67" s="221" t="s">
        <v>275</v>
      </c>
      <c r="C67" s="222" t="s">
        <v>212</v>
      </c>
      <c r="D67" s="223">
        <v>45381</v>
      </c>
      <c r="E67" s="224" t="s">
        <v>270</v>
      </c>
      <c r="F67" s="224" t="s">
        <v>270</v>
      </c>
      <c r="G67" s="227">
        <v>0.85416666666666663</v>
      </c>
      <c r="H67" s="227">
        <v>0.8125</v>
      </c>
      <c r="I67" s="227">
        <f t="shared" ref="I67:J67" si="61">H67-TIME(1,0,0)</f>
        <v>0.77083333333333337</v>
      </c>
      <c r="J67" s="227">
        <f t="shared" si="61"/>
        <v>0.72916666666666674</v>
      </c>
      <c r="K67" s="222"/>
    </row>
    <row r="68" spans="1:11" ht="19.5">
      <c r="A68" s="229"/>
      <c r="B68" s="221" t="s">
        <v>275</v>
      </c>
      <c r="C68" s="222" t="s">
        <v>216</v>
      </c>
      <c r="D68" s="223">
        <v>45382</v>
      </c>
      <c r="E68" s="224" t="s">
        <v>270</v>
      </c>
      <c r="F68" s="224" t="s">
        <v>270</v>
      </c>
      <c r="G68" s="227">
        <v>0.58333333333333337</v>
      </c>
      <c r="H68" s="227">
        <v>0.54166666666666674</v>
      </c>
      <c r="I68" s="227">
        <f t="shared" ref="I68:J68" si="62">H68-TIME(1,0,0)</f>
        <v>0.50000000000000011</v>
      </c>
      <c r="J68" s="227">
        <f t="shared" si="62"/>
        <v>0.45833333333333343</v>
      </c>
      <c r="K68" s="222"/>
    </row>
    <row r="69" spans="1:11" ht="19.5">
      <c r="A69" s="229"/>
      <c r="B69" s="221" t="s">
        <v>275</v>
      </c>
      <c r="C69" s="222" t="s">
        <v>216</v>
      </c>
      <c r="D69" s="223">
        <v>45382</v>
      </c>
      <c r="E69" s="224" t="s">
        <v>270</v>
      </c>
      <c r="F69" s="224" t="s">
        <v>270</v>
      </c>
      <c r="G69" s="226">
        <v>0.70486111111111116</v>
      </c>
      <c r="H69" s="227">
        <v>0.66319444444444453</v>
      </c>
      <c r="I69" s="227">
        <f t="shared" ref="I69:J69" si="63">H69-TIME(1,0,0)</f>
        <v>0.6215277777777779</v>
      </c>
      <c r="J69" s="227">
        <f t="shared" si="63"/>
        <v>0.57986111111111127</v>
      </c>
      <c r="K69" s="222"/>
    </row>
    <row r="70" spans="1:11" ht="19.5">
      <c r="A70" s="229"/>
      <c r="B70" s="221" t="s">
        <v>276</v>
      </c>
      <c r="C70" s="222" t="s">
        <v>212</v>
      </c>
      <c r="D70" s="223">
        <v>45388</v>
      </c>
      <c r="E70" s="224" t="s">
        <v>270</v>
      </c>
      <c r="F70" s="224" t="s">
        <v>270</v>
      </c>
      <c r="G70" s="227">
        <v>0.75</v>
      </c>
      <c r="H70" s="227">
        <v>0.70833333333333337</v>
      </c>
      <c r="I70" s="227">
        <f t="shared" ref="I70:J70" si="64">H70-TIME(1,0,0)</f>
        <v>0.66666666666666674</v>
      </c>
      <c r="J70" s="227">
        <f t="shared" si="64"/>
        <v>0.62500000000000011</v>
      </c>
      <c r="K70" s="222"/>
    </row>
    <row r="71" spans="1:11" ht="19.5">
      <c r="A71" s="229"/>
      <c r="B71" s="221" t="s">
        <v>276</v>
      </c>
      <c r="C71" s="222" t="s">
        <v>212</v>
      </c>
      <c r="D71" s="223">
        <v>45388</v>
      </c>
      <c r="E71" s="224" t="s">
        <v>270</v>
      </c>
      <c r="F71" s="224" t="s">
        <v>270</v>
      </c>
      <c r="G71" s="227">
        <v>0.85416666666666663</v>
      </c>
      <c r="H71" s="227">
        <v>0.8125</v>
      </c>
      <c r="I71" s="227">
        <f t="shared" ref="I71:J71" si="65">H71-TIME(1,0,0)</f>
        <v>0.77083333333333337</v>
      </c>
      <c r="J71" s="227">
        <f t="shared" si="65"/>
        <v>0.72916666666666674</v>
      </c>
      <c r="K71" s="222"/>
    </row>
    <row r="72" spans="1:11" ht="19.5">
      <c r="A72" s="229"/>
      <c r="B72" s="221" t="s">
        <v>277</v>
      </c>
      <c r="C72" s="222" t="s">
        <v>227</v>
      </c>
      <c r="D72" s="223">
        <v>45390</v>
      </c>
      <c r="E72" s="224" t="s">
        <v>270</v>
      </c>
      <c r="F72" s="224" t="s">
        <v>270</v>
      </c>
      <c r="G72" s="227">
        <v>0.875</v>
      </c>
      <c r="H72" s="227">
        <v>0.83333333333333337</v>
      </c>
      <c r="I72" s="227">
        <f t="shared" ref="I72:J72" si="66">H72-TIME(1,0,0)</f>
        <v>0.79166666666666674</v>
      </c>
      <c r="J72" s="227">
        <f t="shared" si="66"/>
        <v>0.75000000000000011</v>
      </c>
      <c r="K72" s="222"/>
    </row>
    <row r="73" spans="1:11" ht="19.5">
      <c r="A73" s="229"/>
      <c r="B73" s="230"/>
      <c r="C73" s="231"/>
      <c r="D73" s="232"/>
      <c r="E73" s="231"/>
      <c r="F73" s="231"/>
      <c r="G73" s="233"/>
      <c r="H73" s="234"/>
      <c r="I73" s="234"/>
      <c r="J73" s="234"/>
      <c r="K73" s="229"/>
    </row>
    <row r="74" spans="1:11" ht="19.5">
      <c r="A74" s="229"/>
      <c r="B74" s="230"/>
      <c r="C74" s="231"/>
      <c r="D74" s="232"/>
      <c r="E74" s="231"/>
      <c r="F74" s="231"/>
      <c r="G74" s="233"/>
      <c r="H74" s="234"/>
      <c r="I74" s="234"/>
      <c r="J74" s="234"/>
      <c r="K74" s="229"/>
    </row>
    <row r="75" spans="1:11" ht="19.5">
      <c r="A75" s="229"/>
      <c r="B75" s="230"/>
      <c r="C75" s="231"/>
      <c r="D75" s="232"/>
      <c r="E75" s="231"/>
      <c r="F75" s="231"/>
      <c r="G75" s="233"/>
      <c r="H75" s="234"/>
      <c r="I75" s="234"/>
      <c r="J75" s="234"/>
      <c r="K75" s="229"/>
    </row>
    <row r="76" spans="1:11" ht="19.5">
      <c r="A76" s="229"/>
      <c r="B76" s="230"/>
      <c r="C76" s="231"/>
      <c r="D76" s="232"/>
      <c r="E76" s="231"/>
      <c r="F76" s="231"/>
      <c r="G76" s="233"/>
      <c r="H76" s="234"/>
      <c r="I76" s="234"/>
      <c r="J76" s="234"/>
      <c r="K76" s="229"/>
    </row>
    <row r="77" spans="1:11" ht="19.5">
      <c r="A77" s="229"/>
      <c r="B77" s="230"/>
      <c r="C77" s="231"/>
      <c r="D77" s="232"/>
      <c r="E77" s="231"/>
      <c r="F77" s="231"/>
      <c r="G77" s="233"/>
      <c r="H77" s="234"/>
      <c r="I77" s="234"/>
      <c r="J77" s="234"/>
      <c r="K77" s="229"/>
    </row>
    <row r="78" spans="1:11" ht="19.5">
      <c r="A78" s="229"/>
      <c r="B78" s="230"/>
      <c r="C78" s="231"/>
      <c r="D78" s="232"/>
      <c r="E78" s="231"/>
      <c r="F78" s="231"/>
      <c r="G78" s="233"/>
      <c r="H78" s="234"/>
      <c r="I78" s="234"/>
      <c r="J78" s="234"/>
      <c r="K78" s="229"/>
    </row>
    <row r="79" spans="1:11" ht="19.5">
      <c r="A79" s="229"/>
      <c r="B79" s="230"/>
      <c r="C79" s="231"/>
      <c r="D79" s="232"/>
      <c r="E79" s="231"/>
      <c r="F79" s="231"/>
      <c r="G79" s="233"/>
      <c r="H79" s="234"/>
      <c r="I79" s="234"/>
      <c r="J79" s="234"/>
      <c r="K79" s="229"/>
    </row>
    <row r="80" spans="1:11" ht="19.5">
      <c r="A80" s="229"/>
      <c r="B80" s="230"/>
      <c r="C80" s="231"/>
      <c r="D80" s="232"/>
      <c r="E80" s="231"/>
      <c r="F80" s="231"/>
      <c r="G80" s="233"/>
      <c r="H80" s="234"/>
      <c r="I80" s="234"/>
      <c r="J80" s="234"/>
      <c r="K80" s="229"/>
    </row>
    <row r="81" spans="1:11" ht="19.5">
      <c r="A81" s="229"/>
      <c r="B81" s="230"/>
      <c r="C81" s="231"/>
      <c r="D81" s="232"/>
      <c r="E81" s="231"/>
      <c r="F81" s="231"/>
      <c r="G81" s="233"/>
      <c r="H81" s="234"/>
      <c r="I81" s="234"/>
      <c r="J81" s="234"/>
      <c r="K81" s="229"/>
    </row>
    <row r="82" spans="1:11" ht="19.5">
      <c r="A82" s="229"/>
      <c r="B82" s="230"/>
      <c r="C82" s="231"/>
      <c r="D82" s="232"/>
      <c r="E82" s="231"/>
      <c r="F82" s="231"/>
      <c r="G82" s="233"/>
      <c r="H82" s="234"/>
      <c r="I82" s="234"/>
      <c r="J82" s="234"/>
      <c r="K82" s="229"/>
    </row>
    <row r="83" spans="1:11" ht="19.5">
      <c r="A83" s="229"/>
      <c r="B83" s="230"/>
      <c r="C83" s="231"/>
      <c r="D83" s="232"/>
      <c r="E83" s="231"/>
      <c r="F83" s="231"/>
      <c r="G83" s="233"/>
      <c r="H83" s="234"/>
      <c r="I83" s="234"/>
      <c r="J83" s="234"/>
      <c r="K83" s="229"/>
    </row>
    <row r="84" spans="1:11" ht="19.5">
      <c r="A84" s="229"/>
      <c r="B84" s="230"/>
      <c r="C84" s="231"/>
      <c r="D84" s="235"/>
      <c r="E84" s="200"/>
      <c r="F84" s="200"/>
      <c r="G84" s="200"/>
      <c r="H84" s="200"/>
      <c r="I84" s="200"/>
      <c r="J84" s="200"/>
      <c r="K84" s="229"/>
    </row>
    <row r="85" spans="1:11" ht="19.5">
      <c r="A85" s="229"/>
      <c r="B85" s="230"/>
      <c r="C85" s="231"/>
      <c r="D85" s="232"/>
      <c r="E85" s="231"/>
      <c r="F85" s="231"/>
      <c r="G85" s="233"/>
      <c r="H85" s="234"/>
      <c r="I85" s="234"/>
      <c r="J85" s="234"/>
      <c r="K85" s="229"/>
    </row>
    <row r="86" spans="1:11" ht="19.5">
      <c r="A86" s="229"/>
      <c r="B86" s="230"/>
      <c r="C86" s="231"/>
      <c r="D86" s="232"/>
      <c r="E86" s="231"/>
      <c r="F86" s="231"/>
      <c r="G86" s="233"/>
      <c r="H86" s="234"/>
      <c r="I86" s="234"/>
      <c r="J86" s="234"/>
      <c r="K86" s="229"/>
    </row>
    <row r="87" spans="1:11" ht="19.5">
      <c r="A87" s="229"/>
      <c r="B87" s="230"/>
      <c r="C87" s="231"/>
      <c r="D87" s="232"/>
      <c r="E87" s="231"/>
      <c r="F87" s="231"/>
      <c r="G87" s="233"/>
      <c r="H87" s="234"/>
      <c r="I87" s="234"/>
      <c r="J87" s="234"/>
      <c r="K87" s="229"/>
    </row>
    <row r="88" spans="1:11" ht="19.5">
      <c r="A88" s="229"/>
      <c r="B88" s="230"/>
      <c r="C88" s="231"/>
      <c r="D88" s="232"/>
      <c r="E88" s="231"/>
      <c r="F88" s="231"/>
      <c r="G88" s="233"/>
      <c r="H88" s="234"/>
      <c r="I88" s="234"/>
      <c r="J88" s="234"/>
      <c r="K88" s="229"/>
    </row>
    <row r="89" spans="1:11" ht="19.5">
      <c r="A89" s="229"/>
      <c r="B89" s="230"/>
      <c r="C89" s="231"/>
      <c r="D89" s="232"/>
      <c r="E89" s="231"/>
      <c r="F89" s="231"/>
      <c r="G89" s="233"/>
      <c r="H89" s="234"/>
      <c r="I89" s="234"/>
      <c r="J89" s="234"/>
      <c r="K89" s="229"/>
    </row>
    <row r="90" spans="1:11" ht="19.5">
      <c r="A90" s="229"/>
      <c r="B90" s="230"/>
      <c r="C90" s="231"/>
      <c r="D90" s="232"/>
      <c r="E90" s="231"/>
      <c r="F90" s="231"/>
      <c r="G90" s="233"/>
      <c r="H90" s="234"/>
      <c r="I90" s="234"/>
      <c r="J90" s="234"/>
      <c r="K90" s="229"/>
    </row>
    <row r="91" spans="1:11" ht="19.5">
      <c r="A91" s="229"/>
      <c r="B91" s="230"/>
      <c r="C91" s="231"/>
      <c r="D91" s="232"/>
      <c r="E91" s="231"/>
      <c r="F91" s="231"/>
      <c r="G91" s="233"/>
      <c r="H91" s="234"/>
      <c r="I91" s="234"/>
      <c r="J91" s="234"/>
      <c r="K91" s="229"/>
    </row>
    <row r="92" spans="1:11" ht="19.5">
      <c r="A92" s="229"/>
      <c r="B92" s="230"/>
      <c r="C92" s="231"/>
      <c r="D92" s="232"/>
      <c r="E92" s="231"/>
      <c r="F92" s="231"/>
      <c r="G92" s="233"/>
      <c r="H92" s="234"/>
      <c r="I92" s="234"/>
      <c r="J92" s="234"/>
      <c r="K92" s="229"/>
    </row>
    <row r="93" spans="1:11" ht="19.5">
      <c r="A93" s="229"/>
      <c r="B93" s="230"/>
      <c r="C93" s="231"/>
      <c r="D93" s="232"/>
      <c r="E93" s="231"/>
      <c r="F93" s="231"/>
      <c r="G93" s="233"/>
      <c r="H93" s="234"/>
      <c r="I93" s="234"/>
      <c r="J93" s="234"/>
      <c r="K93" s="229"/>
    </row>
    <row r="94" spans="1:11" ht="19.5">
      <c r="A94" s="229"/>
      <c r="B94" s="230"/>
      <c r="C94" s="231"/>
      <c r="D94" s="232"/>
      <c r="E94" s="231"/>
      <c r="F94" s="231"/>
      <c r="G94" s="233"/>
      <c r="H94" s="234"/>
      <c r="I94" s="234"/>
      <c r="J94" s="234"/>
      <c r="K94" s="229"/>
    </row>
    <row r="95" spans="1:11" ht="19.5">
      <c r="A95" s="229"/>
      <c r="B95" s="230"/>
      <c r="C95" s="231"/>
      <c r="D95" s="232"/>
      <c r="E95" s="231"/>
      <c r="F95" s="231"/>
      <c r="G95" s="233"/>
      <c r="H95" s="234"/>
      <c r="I95" s="234"/>
      <c r="J95" s="234"/>
      <c r="K95" s="229"/>
    </row>
    <row r="96" spans="1:11" ht="19.5">
      <c r="A96" s="229"/>
      <c r="B96" s="230"/>
      <c r="C96" s="231"/>
      <c r="D96" s="232"/>
      <c r="E96" s="231"/>
      <c r="F96" s="231"/>
      <c r="G96" s="233"/>
      <c r="H96" s="234"/>
      <c r="I96" s="234"/>
      <c r="J96" s="234"/>
      <c r="K96" s="229"/>
    </row>
    <row r="97" spans="1:11" ht="19.5">
      <c r="A97" s="229"/>
      <c r="B97" s="230"/>
      <c r="C97" s="231"/>
      <c r="D97" s="232"/>
      <c r="E97" s="231"/>
      <c r="F97" s="231"/>
      <c r="G97" s="233"/>
      <c r="H97" s="234"/>
      <c r="I97" s="234"/>
      <c r="J97" s="234"/>
      <c r="K97" s="229"/>
    </row>
    <row r="98" spans="1:11" ht="19.5">
      <c r="A98" s="229"/>
      <c r="B98" s="230"/>
      <c r="C98" s="231"/>
      <c r="D98" s="232"/>
      <c r="E98" s="231"/>
      <c r="F98" s="231"/>
      <c r="G98" s="233"/>
      <c r="H98" s="234"/>
      <c r="I98" s="234"/>
      <c r="J98" s="234"/>
      <c r="K98" s="229"/>
    </row>
    <row r="99" spans="1:11" ht="19.5">
      <c r="A99" s="229"/>
      <c r="B99" s="230"/>
      <c r="C99" s="231"/>
      <c r="D99" s="232"/>
      <c r="E99" s="231"/>
      <c r="F99" s="231"/>
      <c r="G99" s="233"/>
      <c r="H99" s="234"/>
      <c r="I99" s="234"/>
      <c r="J99" s="234"/>
      <c r="K99" s="229"/>
    </row>
    <row r="100" spans="1:11" ht="19.5">
      <c r="A100" s="229"/>
      <c r="B100" s="230"/>
      <c r="C100" s="231"/>
      <c r="D100" s="235"/>
      <c r="E100" s="200"/>
      <c r="F100" s="200"/>
      <c r="G100" s="200"/>
      <c r="H100" s="200"/>
      <c r="I100" s="200"/>
      <c r="J100" s="200"/>
      <c r="K100" s="229"/>
    </row>
    <row r="101" spans="1:11" ht="19.5">
      <c r="A101" s="229"/>
      <c r="B101" s="230"/>
      <c r="C101" s="231"/>
      <c r="D101" s="232"/>
      <c r="E101" s="231"/>
      <c r="F101" s="231"/>
      <c r="G101" s="233"/>
      <c r="H101" s="234"/>
      <c r="I101" s="234"/>
      <c r="J101" s="234"/>
      <c r="K101" s="229"/>
    </row>
    <row r="102" spans="1:11" ht="19.5">
      <c r="A102" s="229"/>
      <c r="B102" s="230"/>
      <c r="C102" s="231"/>
      <c r="D102" s="232"/>
      <c r="E102" s="231"/>
      <c r="F102" s="231"/>
      <c r="G102" s="233"/>
      <c r="H102" s="234"/>
      <c r="I102" s="234"/>
      <c r="J102" s="234"/>
      <c r="K102" s="229"/>
    </row>
    <row r="103" spans="1:11" ht="19.5">
      <c r="A103" s="229"/>
      <c r="B103" s="230"/>
      <c r="C103" s="231"/>
      <c r="D103" s="232"/>
      <c r="E103" s="231"/>
      <c r="F103" s="231"/>
      <c r="G103" s="233"/>
      <c r="H103" s="234"/>
      <c r="I103" s="234"/>
      <c r="J103" s="234"/>
      <c r="K103" s="229"/>
    </row>
    <row r="104" spans="1:11" ht="19.5">
      <c r="A104" s="229"/>
      <c r="B104" s="230"/>
      <c r="C104" s="231"/>
      <c r="D104" s="232"/>
      <c r="E104" s="231"/>
      <c r="F104" s="231"/>
      <c r="G104" s="233"/>
      <c r="H104" s="234"/>
      <c r="I104" s="234"/>
      <c r="J104" s="234"/>
      <c r="K104" s="229"/>
    </row>
    <row r="105" spans="1:11" ht="19.5">
      <c r="A105" s="229"/>
      <c r="B105" s="230"/>
      <c r="C105" s="231"/>
      <c r="D105" s="232"/>
      <c r="E105" s="231"/>
      <c r="F105" s="231"/>
      <c r="G105" s="233"/>
      <c r="H105" s="234"/>
      <c r="I105" s="234"/>
      <c r="J105" s="234"/>
      <c r="K105" s="229"/>
    </row>
    <row r="106" spans="1:11" ht="19.5">
      <c r="A106" s="236"/>
      <c r="B106" s="230"/>
      <c r="C106" s="231"/>
      <c r="D106" s="232"/>
      <c r="E106" s="231"/>
      <c r="F106" s="231"/>
      <c r="G106" s="233"/>
      <c r="H106" s="234"/>
      <c r="I106" s="234"/>
      <c r="J106" s="234"/>
      <c r="K106" s="236"/>
    </row>
    <row r="107" spans="1:11" ht="19.5">
      <c r="A107" s="236"/>
      <c r="B107" s="230"/>
      <c r="C107" s="231"/>
      <c r="D107" s="232"/>
      <c r="E107" s="231"/>
      <c r="F107" s="231"/>
      <c r="G107" s="233"/>
      <c r="H107" s="234"/>
      <c r="I107" s="234"/>
      <c r="J107" s="234"/>
      <c r="K107" s="236"/>
    </row>
    <row r="108" spans="1:11" ht="19.5">
      <c r="A108" s="236"/>
      <c r="B108" s="230"/>
      <c r="C108" s="231"/>
      <c r="D108" s="232"/>
      <c r="E108" s="231"/>
      <c r="F108" s="231"/>
      <c r="G108" s="233"/>
      <c r="H108" s="234"/>
      <c r="I108" s="234"/>
      <c r="J108" s="234"/>
      <c r="K108" s="236"/>
    </row>
    <row r="109" spans="1:11" ht="19.5">
      <c r="A109" s="236"/>
      <c r="B109" s="230"/>
      <c r="C109" s="231"/>
      <c r="D109" s="232"/>
      <c r="E109" s="231"/>
      <c r="F109" s="231"/>
      <c r="G109" s="233"/>
      <c r="H109" s="234"/>
      <c r="I109" s="234"/>
      <c r="J109" s="234"/>
      <c r="K109" s="236"/>
    </row>
    <row r="110" spans="1:11" ht="19.5">
      <c r="A110" s="236"/>
      <c r="B110" s="230"/>
      <c r="C110" s="231"/>
      <c r="D110" s="232"/>
      <c r="E110" s="231"/>
      <c r="F110" s="231"/>
      <c r="G110" s="233"/>
      <c r="H110" s="234"/>
      <c r="I110" s="234"/>
      <c r="J110" s="234"/>
      <c r="K110" s="236"/>
    </row>
    <row r="111" spans="1:11" ht="19.5">
      <c r="A111" s="236"/>
      <c r="B111" s="230"/>
      <c r="C111" s="231"/>
      <c r="D111" s="232"/>
      <c r="E111" s="231"/>
      <c r="F111" s="231"/>
      <c r="G111" s="233"/>
      <c r="H111" s="234"/>
      <c r="I111" s="234"/>
      <c r="J111" s="234"/>
      <c r="K111" s="236"/>
    </row>
    <row r="112" spans="1:11" ht="19.5">
      <c r="A112" s="236"/>
      <c r="B112" s="230"/>
      <c r="C112" s="231"/>
      <c r="D112" s="232"/>
      <c r="E112" s="231"/>
      <c r="F112" s="231"/>
      <c r="G112" s="233"/>
      <c r="H112" s="234"/>
      <c r="I112" s="234"/>
      <c r="J112" s="234"/>
      <c r="K112" s="236"/>
    </row>
    <row r="113" spans="1:11" ht="19.5">
      <c r="A113" s="236"/>
      <c r="B113" s="230"/>
      <c r="C113" s="231"/>
      <c r="D113" s="232"/>
      <c r="E113" s="231"/>
      <c r="F113" s="231"/>
      <c r="G113" s="233"/>
      <c r="H113" s="234"/>
      <c r="I113" s="234"/>
      <c r="J113" s="234"/>
      <c r="K113" s="236"/>
    </row>
    <row r="114" spans="1:11" ht="19.5">
      <c r="A114" s="236"/>
      <c r="B114" s="230"/>
      <c r="C114" s="231"/>
      <c r="D114" s="235"/>
      <c r="E114" s="200"/>
      <c r="F114" s="200"/>
      <c r="G114" s="200"/>
      <c r="H114" s="200"/>
      <c r="I114" s="200"/>
      <c r="J114" s="200"/>
      <c r="K114" s="236"/>
    </row>
    <row r="115" spans="1:11" ht="19.5">
      <c r="A115" s="236"/>
      <c r="B115" s="230"/>
      <c r="C115" s="231"/>
      <c r="D115" s="232"/>
      <c r="E115" s="231"/>
      <c r="F115" s="231"/>
      <c r="G115" s="233"/>
      <c r="H115" s="234"/>
      <c r="I115" s="234"/>
      <c r="J115" s="234"/>
      <c r="K115" s="236"/>
    </row>
    <row r="116" spans="1:11" ht="19.5">
      <c r="A116" s="236"/>
      <c r="B116" s="230"/>
      <c r="C116" s="231"/>
      <c r="D116" s="232"/>
      <c r="E116" s="231"/>
      <c r="F116" s="231"/>
      <c r="G116" s="233"/>
      <c r="H116" s="234"/>
      <c r="I116" s="234"/>
      <c r="J116" s="234"/>
      <c r="K116" s="236"/>
    </row>
    <row r="117" spans="1:11" ht="19.5">
      <c r="A117" s="236"/>
      <c r="B117" s="230"/>
      <c r="C117" s="231"/>
      <c r="D117" s="232"/>
      <c r="E117" s="231"/>
      <c r="F117" s="231"/>
      <c r="G117" s="233"/>
      <c r="H117" s="234"/>
      <c r="I117" s="234"/>
      <c r="J117" s="234"/>
      <c r="K117" s="236"/>
    </row>
    <row r="118" spans="1:11" ht="19.5">
      <c r="A118" s="236"/>
      <c r="B118" s="230"/>
      <c r="C118" s="231"/>
      <c r="D118" s="232"/>
      <c r="E118" s="231"/>
      <c r="F118" s="231"/>
      <c r="G118" s="233"/>
      <c r="H118" s="234"/>
      <c r="I118" s="234"/>
      <c r="J118" s="234"/>
      <c r="K118" s="236"/>
    </row>
    <row r="119" spans="1:11" ht="19.5">
      <c r="A119" s="236"/>
      <c r="B119" s="230"/>
      <c r="C119" s="231"/>
      <c r="D119" s="232"/>
      <c r="E119" s="231"/>
      <c r="F119" s="231"/>
      <c r="G119" s="233"/>
      <c r="H119" s="234"/>
      <c r="I119" s="234"/>
      <c r="J119" s="234"/>
      <c r="K119" s="236"/>
    </row>
    <row r="120" spans="1:11" ht="19.5">
      <c r="A120" s="236"/>
      <c r="B120" s="230"/>
      <c r="C120" s="231"/>
      <c r="D120" s="232"/>
      <c r="E120" s="231"/>
      <c r="F120" s="231"/>
      <c r="G120" s="233"/>
      <c r="H120" s="234"/>
      <c r="I120" s="234"/>
      <c r="J120" s="234"/>
      <c r="K120" s="236"/>
    </row>
    <row r="121" spans="1:11" ht="19.5">
      <c r="A121" s="236"/>
      <c r="B121" s="230"/>
      <c r="C121" s="231"/>
      <c r="D121" s="232"/>
      <c r="E121" s="231"/>
      <c r="F121" s="231"/>
      <c r="G121" s="233"/>
      <c r="H121" s="234"/>
      <c r="I121" s="234"/>
      <c r="J121" s="234"/>
      <c r="K121" s="236"/>
    </row>
    <row r="122" spans="1:11" ht="19.5">
      <c r="A122" s="236"/>
      <c r="B122" s="230"/>
      <c r="C122" s="231"/>
      <c r="D122" s="232"/>
      <c r="E122" s="231"/>
      <c r="F122" s="231"/>
      <c r="G122" s="233"/>
      <c r="H122" s="234"/>
      <c r="I122" s="234"/>
      <c r="J122" s="234"/>
      <c r="K122" s="236"/>
    </row>
    <row r="123" spans="1:11" ht="19.5">
      <c r="A123" s="236"/>
      <c r="B123" s="230"/>
      <c r="C123" s="231"/>
      <c r="D123" s="232"/>
      <c r="E123" s="231"/>
      <c r="F123" s="231"/>
      <c r="G123" s="233"/>
      <c r="H123" s="234"/>
      <c r="I123" s="234"/>
      <c r="J123" s="234"/>
      <c r="K123" s="236"/>
    </row>
    <row r="124" spans="1:11" ht="19.5">
      <c r="A124" s="236"/>
      <c r="B124" s="230"/>
      <c r="C124" s="231"/>
      <c r="D124" s="232"/>
      <c r="E124" s="231"/>
      <c r="F124" s="231"/>
      <c r="G124" s="233"/>
      <c r="H124" s="234"/>
      <c r="I124" s="234"/>
      <c r="J124" s="234"/>
      <c r="K124" s="236"/>
    </row>
    <row r="125" spans="1:11" ht="19.5">
      <c r="A125" s="236"/>
      <c r="B125" s="230"/>
      <c r="C125" s="231"/>
      <c r="D125" s="232"/>
      <c r="E125" s="231"/>
      <c r="F125" s="231"/>
      <c r="G125" s="233"/>
      <c r="H125" s="234"/>
      <c r="I125" s="234"/>
      <c r="J125" s="234"/>
      <c r="K125" s="236"/>
    </row>
    <row r="126" spans="1:11" ht="19.5">
      <c r="A126" s="236"/>
      <c r="B126" s="230"/>
      <c r="C126" s="231"/>
      <c r="D126" s="232"/>
      <c r="E126" s="231"/>
      <c r="F126" s="231"/>
      <c r="G126" s="233"/>
      <c r="H126" s="234"/>
      <c r="I126" s="234"/>
      <c r="J126" s="234"/>
      <c r="K126" s="236"/>
    </row>
    <row r="127" spans="1:11" ht="19.5">
      <c r="A127" s="236"/>
      <c r="B127" s="230"/>
      <c r="C127" s="231"/>
      <c r="D127" s="232"/>
      <c r="E127" s="231"/>
      <c r="F127" s="231"/>
      <c r="G127" s="233"/>
      <c r="H127" s="234"/>
      <c r="I127" s="234"/>
      <c r="J127" s="234"/>
      <c r="K127" s="236"/>
    </row>
    <row r="128" spans="1:11" ht="19.5">
      <c r="A128" s="236"/>
      <c r="B128" s="230"/>
      <c r="C128" s="231"/>
      <c r="D128" s="232"/>
      <c r="E128" s="231"/>
      <c r="F128" s="231"/>
      <c r="G128" s="233"/>
      <c r="H128" s="234"/>
      <c r="I128" s="234"/>
      <c r="J128" s="234"/>
      <c r="K128" s="236"/>
    </row>
    <row r="129" spans="1:11" ht="19.5">
      <c r="A129" s="236"/>
      <c r="B129" s="230"/>
      <c r="C129" s="231"/>
      <c r="D129" s="232"/>
      <c r="E129" s="231"/>
      <c r="F129" s="231"/>
      <c r="G129" s="233"/>
      <c r="H129" s="234"/>
      <c r="I129" s="234"/>
      <c r="J129" s="234"/>
      <c r="K129" s="236"/>
    </row>
    <row r="130" spans="1:11" ht="19.5">
      <c r="A130" s="236"/>
      <c r="B130" s="230"/>
      <c r="C130" s="231"/>
      <c r="D130" s="232"/>
      <c r="E130" s="231"/>
      <c r="F130" s="231"/>
      <c r="G130" s="233"/>
      <c r="H130" s="234"/>
      <c r="I130" s="234"/>
      <c r="J130" s="234"/>
      <c r="K130" s="236"/>
    </row>
    <row r="131" spans="1:11" ht="19.5">
      <c r="A131" s="236"/>
      <c r="B131" s="230"/>
      <c r="C131" s="231"/>
      <c r="D131" s="232"/>
      <c r="E131" s="231"/>
      <c r="F131" s="231"/>
      <c r="G131" s="233"/>
      <c r="H131" s="234"/>
      <c r="I131" s="234"/>
      <c r="J131" s="234"/>
      <c r="K131" s="236"/>
    </row>
    <row r="132" spans="1:11" ht="19.5">
      <c r="A132" s="236"/>
      <c r="B132" s="230"/>
      <c r="C132" s="231"/>
      <c r="D132" s="232"/>
      <c r="E132" s="231"/>
      <c r="F132" s="231"/>
      <c r="G132" s="233"/>
      <c r="H132" s="234"/>
      <c r="I132" s="234"/>
      <c r="J132" s="234"/>
      <c r="K132" s="236"/>
    </row>
    <row r="133" spans="1:11" ht="19.5">
      <c r="A133" s="236"/>
      <c r="B133" s="230"/>
      <c r="C133" s="231"/>
      <c r="D133" s="232"/>
      <c r="E133" s="231"/>
      <c r="F133" s="231"/>
      <c r="G133" s="233"/>
      <c r="H133" s="234"/>
      <c r="I133" s="234"/>
      <c r="J133" s="234"/>
      <c r="K133" s="236"/>
    </row>
    <row r="134" spans="1:11" ht="19.5">
      <c r="A134" s="236"/>
      <c r="B134" s="230"/>
      <c r="C134" s="231"/>
      <c r="D134" s="232"/>
      <c r="E134" s="231"/>
      <c r="F134" s="231"/>
      <c r="G134" s="233"/>
      <c r="H134" s="234"/>
      <c r="I134" s="234"/>
      <c r="J134" s="234"/>
      <c r="K134" s="236"/>
    </row>
    <row r="135" spans="1:11" ht="19.5">
      <c r="A135" s="236"/>
      <c r="B135" s="230"/>
      <c r="C135" s="231"/>
      <c r="D135" s="232"/>
      <c r="E135" s="231"/>
      <c r="F135" s="231"/>
      <c r="G135" s="233"/>
      <c r="H135" s="234"/>
      <c r="I135" s="234"/>
      <c r="J135" s="234"/>
      <c r="K135" s="236"/>
    </row>
    <row r="136" spans="1:11" ht="19.5">
      <c r="A136" s="236"/>
      <c r="B136" s="230"/>
      <c r="C136" s="231"/>
      <c r="D136" s="232"/>
      <c r="E136" s="231"/>
      <c r="F136" s="231"/>
      <c r="G136" s="233"/>
      <c r="H136" s="234"/>
      <c r="I136" s="234"/>
      <c r="J136" s="234"/>
      <c r="K136" s="236"/>
    </row>
    <row r="137" spans="1:11" ht="19.5">
      <c r="A137" s="236"/>
      <c r="B137" s="230"/>
      <c r="C137" s="231"/>
      <c r="D137" s="232"/>
      <c r="E137" s="231"/>
      <c r="F137" s="231"/>
      <c r="G137" s="233"/>
      <c r="H137" s="234"/>
      <c r="I137" s="234"/>
      <c r="J137" s="234"/>
      <c r="K137" s="236"/>
    </row>
    <row r="138" spans="1:11" ht="19.5">
      <c r="A138" s="236"/>
      <c r="B138" s="230"/>
      <c r="C138" s="231"/>
      <c r="D138" s="232"/>
      <c r="E138" s="231"/>
      <c r="F138" s="231"/>
      <c r="G138" s="233"/>
      <c r="H138" s="234"/>
      <c r="I138" s="234"/>
      <c r="J138" s="234"/>
      <c r="K138" s="236"/>
    </row>
    <row r="139" spans="1:11" ht="19.5">
      <c r="A139" s="236"/>
      <c r="B139" s="230"/>
      <c r="C139" s="231"/>
      <c r="D139" s="232"/>
      <c r="E139" s="231"/>
      <c r="F139" s="231"/>
      <c r="G139" s="233"/>
      <c r="H139" s="234"/>
      <c r="I139" s="234"/>
      <c r="J139" s="234"/>
      <c r="K139" s="236"/>
    </row>
    <row r="140" spans="1:11" ht="19.5">
      <c r="A140" s="236"/>
      <c r="B140" s="230"/>
      <c r="C140" s="231"/>
      <c r="D140" s="232"/>
      <c r="E140" s="231"/>
      <c r="F140" s="231"/>
      <c r="G140" s="233"/>
      <c r="H140" s="234"/>
      <c r="I140" s="234"/>
      <c r="J140" s="234"/>
      <c r="K140" s="236"/>
    </row>
    <row r="141" spans="1:11" ht="19.5">
      <c r="A141" s="236"/>
      <c r="B141" s="230"/>
      <c r="C141" s="231"/>
      <c r="D141" s="232"/>
      <c r="E141" s="231"/>
      <c r="F141" s="231"/>
      <c r="G141" s="233"/>
      <c r="H141" s="234"/>
      <c r="I141" s="234"/>
      <c r="J141" s="234"/>
      <c r="K141" s="236"/>
    </row>
    <row r="142" spans="1:11" ht="19.5">
      <c r="A142" s="236"/>
      <c r="B142" s="230"/>
      <c r="C142" s="231"/>
      <c r="D142" s="232"/>
      <c r="E142" s="231"/>
      <c r="F142" s="231"/>
      <c r="G142" s="233"/>
      <c r="H142" s="234"/>
      <c r="I142" s="234"/>
      <c r="J142" s="234"/>
      <c r="K142" s="236"/>
    </row>
    <row r="143" spans="1:11" ht="19.5">
      <c r="A143" s="236"/>
      <c r="B143" s="230"/>
      <c r="C143" s="231"/>
      <c r="D143" s="232"/>
      <c r="E143" s="231"/>
      <c r="F143" s="231"/>
      <c r="G143" s="233"/>
      <c r="H143" s="234"/>
      <c r="I143" s="234"/>
      <c r="J143" s="234"/>
      <c r="K143" s="236"/>
    </row>
    <row r="144" spans="1:11" ht="19.5">
      <c r="A144" s="236"/>
      <c r="B144" s="230"/>
      <c r="C144" s="231"/>
      <c r="D144" s="232"/>
      <c r="E144" s="231"/>
      <c r="F144" s="231"/>
      <c r="G144" s="233"/>
      <c r="H144" s="234"/>
      <c r="I144" s="234"/>
      <c r="J144" s="234"/>
      <c r="K144" s="236"/>
    </row>
    <row r="145" spans="1:11" ht="20.25">
      <c r="A145" s="236"/>
      <c r="B145" s="230"/>
      <c r="C145" s="231"/>
      <c r="D145" s="237"/>
      <c r="E145" s="200"/>
      <c r="F145" s="200"/>
      <c r="G145" s="200"/>
      <c r="H145" s="200"/>
      <c r="I145" s="200"/>
      <c r="J145" s="200"/>
      <c r="K145" s="236"/>
    </row>
    <row r="146" spans="1:11" ht="19.5">
      <c r="A146" s="236"/>
      <c r="B146" s="230"/>
      <c r="C146" s="231"/>
      <c r="D146" s="232"/>
      <c r="E146" s="231"/>
      <c r="F146" s="231"/>
      <c r="G146" s="233"/>
      <c r="H146" s="234"/>
      <c r="I146" s="234"/>
      <c r="J146" s="234"/>
      <c r="K146" s="236"/>
    </row>
    <row r="147" spans="1:11" ht="19.5">
      <c r="A147" s="236"/>
      <c r="B147" s="230"/>
      <c r="C147" s="231"/>
      <c r="D147" s="232"/>
      <c r="E147" s="231"/>
      <c r="F147" s="231"/>
      <c r="G147" s="233"/>
      <c r="H147" s="234"/>
      <c r="I147" s="234"/>
      <c r="J147" s="234"/>
      <c r="K147" s="236"/>
    </row>
    <row r="148" spans="1:11" ht="19.5">
      <c r="A148" s="236"/>
      <c r="B148" s="230"/>
      <c r="C148" s="231"/>
      <c r="D148" s="232"/>
      <c r="E148" s="231"/>
      <c r="F148" s="231"/>
      <c r="G148" s="233"/>
      <c r="H148" s="234"/>
      <c r="I148" s="234"/>
      <c r="J148" s="234"/>
      <c r="K148" s="236"/>
    </row>
    <row r="149" spans="1:11" ht="19.5">
      <c r="A149" s="236"/>
      <c r="B149" s="230"/>
      <c r="C149" s="231"/>
      <c r="D149" s="232"/>
      <c r="E149" s="231"/>
      <c r="F149" s="231"/>
      <c r="G149" s="233"/>
      <c r="H149" s="234"/>
      <c r="I149" s="234"/>
      <c r="J149" s="234"/>
      <c r="K149" s="236"/>
    </row>
    <row r="150" spans="1:11" ht="19.5">
      <c r="A150" s="236"/>
      <c r="B150" s="230"/>
      <c r="C150" s="231"/>
      <c r="D150" s="232"/>
      <c r="E150" s="231"/>
      <c r="F150" s="231"/>
      <c r="G150" s="233"/>
      <c r="H150" s="234"/>
      <c r="I150" s="234"/>
      <c r="J150" s="234"/>
      <c r="K150" s="236"/>
    </row>
    <row r="151" spans="1:11" ht="19.5">
      <c r="A151" s="236"/>
      <c r="B151" s="230"/>
      <c r="C151" s="231"/>
      <c r="D151" s="232"/>
      <c r="E151" s="231"/>
      <c r="F151" s="231"/>
      <c r="G151" s="233"/>
      <c r="H151" s="234"/>
      <c r="I151" s="234"/>
      <c r="J151" s="234"/>
      <c r="K151" s="236"/>
    </row>
    <row r="152" spans="1:11" ht="19.5">
      <c r="A152" s="236"/>
      <c r="B152" s="230"/>
      <c r="C152" s="231"/>
      <c r="D152" s="232"/>
      <c r="E152" s="231"/>
      <c r="F152" s="231"/>
      <c r="G152" s="233"/>
      <c r="H152" s="234"/>
      <c r="I152" s="234"/>
      <c r="J152" s="234"/>
      <c r="K152" s="236"/>
    </row>
    <row r="153" spans="1:11" ht="19.5">
      <c r="A153" s="236"/>
      <c r="B153" s="230"/>
      <c r="C153" s="231"/>
      <c r="D153" s="232"/>
      <c r="E153" s="231"/>
      <c r="F153" s="231"/>
      <c r="G153" s="233"/>
      <c r="H153" s="234"/>
      <c r="I153" s="234"/>
      <c r="J153" s="234"/>
      <c r="K153" s="236"/>
    </row>
    <row r="154" spans="1:11" ht="19.5">
      <c r="A154" s="236"/>
      <c r="B154" s="230"/>
      <c r="C154" s="231"/>
      <c r="D154" s="232"/>
      <c r="E154" s="231"/>
      <c r="F154" s="231"/>
      <c r="G154" s="233"/>
      <c r="H154" s="234"/>
      <c r="I154" s="234"/>
      <c r="J154" s="234"/>
      <c r="K154" s="236"/>
    </row>
    <row r="155" spans="1:11" ht="19.5">
      <c r="A155" s="236"/>
      <c r="B155" s="230"/>
      <c r="C155" s="231"/>
      <c r="D155" s="232"/>
      <c r="E155" s="231"/>
      <c r="F155" s="231"/>
      <c r="G155" s="233"/>
      <c r="H155" s="234"/>
      <c r="I155" s="234"/>
      <c r="J155" s="234"/>
      <c r="K155" s="236"/>
    </row>
    <row r="156" spans="1:11" ht="19.5">
      <c r="A156" s="236"/>
      <c r="B156" s="230"/>
      <c r="C156" s="231"/>
      <c r="D156" s="232"/>
      <c r="E156" s="231"/>
      <c r="F156" s="231"/>
      <c r="G156" s="233"/>
      <c r="H156" s="234"/>
      <c r="I156" s="234"/>
      <c r="J156" s="234"/>
      <c r="K156" s="236"/>
    </row>
    <row r="157" spans="1:11" ht="19.5">
      <c r="A157" s="236"/>
      <c r="B157" s="230"/>
      <c r="C157" s="231"/>
      <c r="D157" s="232"/>
      <c r="E157" s="231"/>
      <c r="F157" s="231"/>
      <c r="G157" s="233"/>
      <c r="H157" s="234"/>
      <c r="I157" s="234"/>
      <c r="J157" s="234"/>
      <c r="K157" s="236"/>
    </row>
    <row r="158" spans="1:11" ht="19.5">
      <c r="A158" s="236"/>
      <c r="B158" s="230"/>
      <c r="C158" s="231"/>
      <c r="D158" s="232"/>
      <c r="E158" s="231"/>
      <c r="F158" s="231"/>
      <c r="G158" s="233"/>
      <c r="H158" s="234"/>
      <c r="I158" s="234"/>
      <c r="J158" s="234"/>
      <c r="K158" s="236"/>
    </row>
    <row r="159" spans="1:11" ht="19.5">
      <c r="A159" s="236"/>
      <c r="B159" s="230"/>
      <c r="C159" s="231"/>
      <c r="D159" s="232"/>
      <c r="E159" s="231"/>
      <c r="F159" s="231"/>
      <c r="G159" s="233"/>
      <c r="H159" s="234"/>
      <c r="I159" s="234"/>
      <c r="J159" s="234"/>
      <c r="K159" s="236"/>
    </row>
    <row r="160" spans="1:11" ht="20.25">
      <c r="A160" s="236"/>
      <c r="B160" s="230"/>
      <c r="C160" s="231"/>
      <c r="D160" s="237"/>
      <c r="E160" s="200"/>
      <c r="F160" s="200"/>
      <c r="G160" s="200"/>
      <c r="H160" s="200"/>
      <c r="I160" s="200"/>
      <c r="J160" s="200"/>
      <c r="K160" s="236"/>
    </row>
    <row r="161" spans="1:11" ht="19.5">
      <c r="A161" s="236"/>
      <c r="B161" s="230"/>
      <c r="C161" s="231"/>
      <c r="D161" s="232"/>
      <c r="E161" s="231"/>
      <c r="F161" s="231"/>
      <c r="G161" s="233"/>
      <c r="H161" s="234"/>
      <c r="I161" s="234"/>
      <c r="J161" s="234"/>
      <c r="K161" s="236"/>
    </row>
    <row r="162" spans="1:11" ht="19.5">
      <c r="A162" s="236"/>
      <c r="B162" s="230"/>
      <c r="C162" s="231"/>
      <c r="D162" s="232"/>
      <c r="E162" s="231"/>
      <c r="F162" s="231"/>
      <c r="G162" s="233"/>
      <c r="H162" s="234"/>
      <c r="I162" s="234"/>
      <c r="J162" s="234"/>
      <c r="K162" s="236"/>
    </row>
    <row r="163" spans="1:11" ht="19.5">
      <c r="A163" s="236"/>
      <c r="B163" s="230"/>
      <c r="C163" s="231"/>
      <c r="D163" s="238"/>
      <c r="E163" s="231"/>
      <c r="F163" s="231"/>
      <c r="G163" s="233"/>
      <c r="H163" s="234"/>
      <c r="I163" s="234"/>
      <c r="J163" s="234"/>
      <c r="K163" s="236"/>
    </row>
    <row r="164" spans="1:11" ht="19.5">
      <c r="A164" s="236"/>
      <c r="B164" s="230"/>
      <c r="C164" s="231"/>
      <c r="D164" s="232"/>
      <c r="E164" s="231"/>
      <c r="F164" s="231"/>
      <c r="G164" s="233"/>
      <c r="H164" s="234"/>
      <c r="I164" s="234"/>
      <c r="J164" s="234"/>
      <c r="K164" s="236"/>
    </row>
    <row r="165" spans="1:11" ht="19.5">
      <c r="A165" s="236"/>
      <c r="B165" s="230"/>
      <c r="C165" s="231"/>
      <c r="D165" s="238"/>
      <c r="E165" s="231"/>
      <c r="F165" s="231"/>
      <c r="G165" s="233"/>
      <c r="H165" s="234"/>
      <c r="I165" s="234"/>
      <c r="J165" s="234"/>
      <c r="K165" s="236"/>
    </row>
    <row r="166" spans="1:11" ht="19.5">
      <c r="A166" s="236"/>
      <c r="B166" s="230"/>
      <c r="C166" s="231"/>
      <c r="D166" s="232"/>
      <c r="E166" s="231"/>
      <c r="F166" s="231"/>
      <c r="G166" s="233"/>
      <c r="H166" s="234"/>
      <c r="I166" s="234"/>
      <c r="J166" s="234"/>
      <c r="K166" s="236"/>
    </row>
    <row r="167" spans="1:11" ht="19.5">
      <c r="A167" s="236"/>
      <c r="B167" s="230"/>
      <c r="C167" s="231"/>
      <c r="D167" s="238"/>
      <c r="E167" s="231"/>
      <c r="F167" s="231"/>
      <c r="G167" s="233"/>
      <c r="H167" s="234"/>
      <c r="I167" s="234"/>
      <c r="J167" s="234"/>
      <c r="K167" s="236"/>
    </row>
    <row r="168" spans="1:11" ht="19.5">
      <c r="A168" s="236"/>
      <c r="B168" s="230"/>
      <c r="C168" s="231"/>
      <c r="D168" s="238"/>
      <c r="E168" s="231"/>
      <c r="F168" s="231"/>
      <c r="G168" s="233"/>
      <c r="H168" s="234"/>
      <c r="I168" s="234"/>
      <c r="J168" s="234"/>
      <c r="K168" s="236"/>
    </row>
    <row r="169" spans="1:11" ht="19.5">
      <c r="A169" s="236"/>
      <c r="B169" s="230"/>
      <c r="C169" s="231"/>
      <c r="D169" s="238"/>
      <c r="E169" s="231"/>
      <c r="F169" s="231"/>
      <c r="G169" s="233"/>
      <c r="H169" s="234"/>
      <c r="I169" s="234"/>
      <c r="J169" s="234"/>
      <c r="K169" s="236"/>
    </row>
    <row r="170" spans="1:11" ht="19.5">
      <c r="A170" s="236"/>
      <c r="B170" s="230"/>
      <c r="C170" s="231"/>
      <c r="D170" s="232"/>
      <c r="E170" s="231"/>
      <c r="F170" s="231"/>
      <c r="G170" s="233"/>
      <c r="H170" s="234"/>
      <c r="I170" s="234"/>
      <c r="J170" s="234"/>
      <c r="K170" s="236"/>
    </row>
    <row r="171" spans="1:11" ht="19.5">
      <c r="A171" s="236"/>
      <c r="B171" s="230"/>
      <c r="C171" s="231"/>
      <c r="D171" s="232"/>
      <c r="E171" s="231"/>
      <c r="F171" s="231"/>
      <c r="G171" s="233"/>
      <c r="H171" s="234"/>
      <c r="I171" s="234"/>
      <c r="J171" s="234"/>
      <c r="K171" s="236"/>
    </row>
    <row r="172" spans="1:11" ht="19.5">
      <c r="A172" s="236"/>
      <c r="B172" s="230"/>
      <c r="C172" s="231"/>
      <c r="D172" s="232"/>
      <c r="E172" s="231"/>
      <c r="F172" s="231"/>
      <c r="G172" s="233"/>
      <c r="H172" s="234"/>
      <c r="I172" s="234"/>
      <c r="J172" s="234"/>
      <c r="K172" s="236"/>
    </row>
    <row r="173" spans="1:11" ht="19.5">
      <c r="A173" s="236"/>
      <c r="B173" s="230"/>
      <c r="C173" s="231"/>
      <c r="D173" s="238"/>
      <c r="E173" s="231"/>
      <c r="F173" s="231"/>
      <c r="G173" s="233"/>
      <c r="H173" s="234"/>
      <c r="I173" s="234"/>
      <c r="J173" s="234"/>
      <c r="K173" s="236"/>
    </row>
    <row r="174" spans="1:11" ht="19.5">
      <c r="A174" s="236"/>
      <c r="B174" s="230"/>
      <c r="C174" s="231"/>
      <c r="D174" s="232"/>
      <c r="E174" s="231"/>
      <c r="F174" s="231"/>
      <c r="G174" s="233"/>
      <c r="H174" s="234"/>
      <c r="I174" s="234"/>
      <c r="J174" s="234"/>
      <c r="K174" s="236"/>
    </row>
    <row r="175" spans="1:11" ht="20.25">
      <c r="A175" s="236"/>
      <c r="B175" s="230"/>
      <c r="C175" s="231"/>
      <c r="D175" s="237"/>
      <c r="E175" s="200"/>
      <c r="F175" s="200"/>
      <c r="G175" s="200"/>
      <c r="H175" s="200"/>
      <c r="I175" s="200"/>
      <c r="J175" s="200"/>
      <c r="K175" s="236"/>
    </row>
    <row r="176" spans="1:11" ht="19.5">
      <c r="A176" s="236"/>
      <c r="B176" s="230"/>
      <c r="C176" s="231"/>
      <c r="D176" s="232"/>
      <c r="E176" s="231"/>
      <c r="F176" s="231"/>
      <c r="G176" s="233"/>
      <c r="H176" s="234"/>
      <c r="I176" s="234"/>
      <c r="J176" s="234"/>
      <c r="K176" s="236"/>
    </row>
    <row r="177" spans="1:11" ht="19.5">
      <c r="A177" s="236"/>
      <c r="B177" s="230"/>
      <c r="C177" s="231"/>
      <c r="D177" s="238"/>
      <c r="E177" s="231"/>
      <c r="F177" s="231"/>
      <c r="G177" s="233"/>
      <c r="H177" s="234"/>
      <c r="I177" s="234"/>
      <c r="J177" s="234"/>
      <c r="K177" s="236"/>
    </row>
    <row r="178" spans="1:11" ht="19.5">
      <c r="A178" s="236"/>
      <c r="B178" s="230"/>
      <c r="C178" s="231"/>
      <c r="D178" s="238"/>
      <c r="E178" s="231"/>
      <c r="F178" s="231"/>
      <c r="G178" s="233"/>
      <c r="H178" s="234"/>
      <c r="I178" s="234"/>
      <c r="J178" s="234"/>
      <c r="K178" s="236"/>
    </row>
    <row r="179" spans="1:11" ht="19.5">
      <c r="A179" s="236"/>
      <c r="B179" s="230"/>
      <c r="C179" s="231"/>
      <c r="D179" s="232"/>
      <c r="E179" s="231"/>
      <c r="F179" s="231"/>
      <c r="G179" s="233"/>
      <c r="H179" s="234"/>
      <c r="I179" s="234"/>
      <c r="J179" s="234"/>
      <c r="K179" s="236"/>
    </row>
    <row r="180" spans="1:11" ht="19.5">
      <c r="A180" s="236"/>
      <c r="B180" s="230"/>
      <c r="C180" s="231"/>
      <c r="D180" s="232"/>
      <c r="E180" s="231"/>
      <c r="F180" s="231"/>
      <c r="G180" s="233"/>
      <c r="H180" s="234"/>
      <c r="I180" s="234"/>
      <c r="J180" s="234"/>
      <c r="K180" s="236"/>
    </row>
    <row r="181" spans="1:11" ht="19.5">
      <c r="A181" s="236"/>
      <c r="B181" s="230"/>
      <c r="C181" s="231"/>
      <c r="D181" s="232"/>
      <c r="E181" s="231"/>
      <c r="F181" s="231"/>
      <c r="G181" s="233"/>
      <c r="H181" s="234"/>
      <c r="I181" s="234"/>
      <c r="J181" s="234"/>
      <c r="K181" s="236"/>
    </row>
    <row r="182" spans="1:11" ht="19.5">
      <c r="A182" s="236"/>
      <c r="B182" s="230"/>
      <c r="C182" s="231"/>
      <c r="D182" s="232"/>
      <c r="E182" s="231"/>
      <c r="F182" s="231"/>
      <c r="G182" s="233"/>
      <c r="H182" s="234"/>
      <c r="I182" s="234"/>
      <c r="J182" s="234"/>
      <c r="K182" s="236"/>
    </row>
    <row r="183" spans="1:11" ht="19.5">
      <c r="A183" s="236"/>
      <c r="B183" s="230"/>
      <c r="C183" s="231"/>
      <c r="D183" s="232"/>
      <c r="E183" s="231"/>
      <c r="F183" s="231"/>
      <c r="G183" s="233"/>
      <c r="H183" s="234"/>
      <c r="I183" s="234"/>
      <c r="J183" s="234"/>
      <c r="K183" s="236"/>
    </row>
    <row r="184" spans="1:11" ht="19.5">
      <c r="A184" s="236"/>
      <c r="B184" s="230"/>
      <c r="C184" s="231"/>
      <c r="D184" s="238"/>
      <c r="E184" s="231"/>
      <c r="F184" s="231"/>
      <c r="G184" s="233"/>
      <c r="H184" s="234"/>
      <c r="I184" s="234"/>
      <c r="J184" s="234"/>
      <c r="K184" s="236"/>
    </row>
    <row r="185" spans="1:11" ht="19.5">
      <c r="A185" s="236"/>
      <c r="B185" s="230"/>
      <c r="C185" s="231"/>
      <c r="D185" s="238"/>
      <c r="E185" s="231"/>
      <c r="F185" s="231"/>
      <c r="G185" s="233"/>
      <c r="H185" s="234"/>
      <c r="I185" s="234"/>
      <c r="J185" s="234"/>
      <c r="K185" s="236"/>
    </row>
    <row r="186" spans="1:11" ht="19.5">
      <c r="A186" s="236"/>
      <c r="B186" s="230"/>
      <c r="C186" s="231"/>
      <c r="D186" s="238"/>
      <c r="E186" s="231"/>
      <c r="F186" s="231"/>
      <c r="G186" s="233"/>
      <c r="H186" s="234"/>
      <c r="I186" s="234"/>
      <c r="J186" s="234"/>
      <c r="K186" s="236"/>
    </row>
    <row r="187" spans="1:11" ht="19.5">
      <c r="A187" s="236"/>
      <c r="B187" s="230"/>
      <c r="C187" s="231"/>
      <c r="D187" s="232"/>
      <c r="E187" s="231"/>
      <c r="F187" s="231"/>
      <c r="G187" s="233"/>
      <c r="H187" s="234"/>
      <c r="I187" s="234"/>
      <c r="J187" s="234"/>
      <c r="K187" s="236"/>
    </row>
    <row r="188" spans="1:11" ht="19.5">
      <c r="A188" s="236"/>
      <c r="B188" s="230"/>
      <c r="C188" s="231"/>
      <c r="D188" s="238"/>
      <c r="E188" s="231"/>
      <c r="F188" s="231"/>
      <c r="G188" s="233"/>
      <c r="H188" s="234"/>
      <c r="I188" s="234"/>
      <c r="J188" s="234"/>
      <c r="K188" s="236"/>
    </row>
    <row r="189" spans="1:11" ht="19.5">
      <c r="A189" s="236"/>
      <c r="B189" s="230"/>
      <c r="C189" s="231"/>
      <c r="D189" s="232"/>
      <c r="E189" s="231"/>
      <c r="F189" s="231"/>
      <c r="G189" s="233"/>
      <c r="H189" s="234"/>
      <c r="I189" s="234"/>
      <c r="J189" s="234"/>
      <c r="K189" s="236"/>
    </row>
    <row r="190" spans="1:11" ht="19.5">
      <c r="A190" s="236"/>
      <c r="B190" s="230"/>
      <c r="C190" s="231"/>
      <c r="D190" s="238"/>
      <c r="E190" s="231"/>
      <c r="F190" s="231"/>
      <c r="G190" s="233"/>
      <c r="H190" s="234"/>
      <c r="I190" s="234"/>
      <c r="J190" s="234"/>
      <c r="K190" s="236"/>
    </row>
    <row r="191" spans="1:11" ht="19.5">
      <c r="A191" s="236"/>
      <c r="B191" s="230"/>
      <c r="C191" s="231"/>
      <c r="D191" s="232"/>
      <c r="E191" s="231"/>
      <c r="F191" s="231"/>
      <c r="G191" s="233"/>
      <c r="H191" s="234"/>
      <c r="I191" s="234"/>
      <c r="J191" s="234"/>
      <c r="K191" s="236"/>
    </row>
    <row r="192" spans="1:11" ht="19.5">
      <c r="A192" s="236"/>
      <c r="B192" s="230"/>
      <c r="C192" s="231"/>
      <c r="D192" s="232"/>
      <c r="E192" s="231"/>
      <c r="F192" s="231"/>
      <c r="G192" s="233"/>
      <c r="H192" s="234"/>
      <c r="I192" s="234"/>
      <c r="J192" s="234"/>
      <c r="K192" s="236"/>
    </row>
    <row r="193" spans="1:11" ht="19.5">
      <c r="A193" s="236"/>
      <c r="B193" s="230"/>
      <c r="C193" s="231"/>
      <c r="D193" s="232"/>
      <c r="E193" s="231"/>
      <c r="F193" s="231"/>
      <c r="G193" s="233"/>
      <c r="H193" s="234"/>
      <c r="I193" s="234"/>
      <c r="J193" s="234"/>
      <c r="K193" s="236"/>
    </row>
    <row r="194" spans="1:11" ht="19.5">
      <c r="A194" s="236"/>
      <c r="B194" s="230"/>
      <c r="C194" s="231"/>
      <c r="D194" s="232"/>
      <c r="E194" s="231"/>
      <c r="F194" s="231"/>
      <c r="G194" s="233"/>
      <c r="H194" s="234"/>
      <c r="I194" s="234"/>
      <c r="J194" s="234"/>
      <c r="K194" s="236"/>
    </row>
    <row r="195" spans="1:11" ht="19.5">
      <c r="A195" s="236"/>
      <c r="B195" s="230"/>
      <c r="C195" s="231"/>
      <c r="D195" s="232"/>
      <c r="E195" s="231"/>
      <c r="F195" s="231"/>
      <c r="G195" s="233"/>
      <c r="H195" s="234"/>
      <c r="I195" s="234"/>
      <c r="J195" s="234"/>
      <c r="K195" s="236"/>
    </row>
    <row r="196" spans="1:11" ht="19.5">
      <c r="A196" s="236"/>
      <c r="B196" s="230"/>
      <c r="C196" s="231"/>
      <c r="D196" s="232"/>
      <c r="E196" s="231"/>
      <c r="F196" s="231"/>
      <c r="G196" s="233"/>
      <c r="H196" s="234"/>
      <c r="I196" s="234"/>
      <c r="J196" s="234"/>
      <c r="K196" s="236"/>
    </row>
    <row r="197" spans="1:11" ht="19.5">
      <c r="A197" s="236"/>
      <c r="B197" s="230"/>
      <c r="C197" s="231"/>
      <c r="D197" s="232"/>
      <c r="E197" s="231"/>
      <c r="F197" s="231"/>
      <c r="G197" s="233"/>
      <c r="H197" s="234"/>
      <c r="I197" s="234"/>
      <c r="J197" s="234"/>
      <c r="K197" s="236"/>
    </row>
    <row r="198" spans="1:11" ht="19.5">
      <c r="A198" s="236"/>
      <c r="B198" s="230"/>
      <c r="C198" s="231"/>
      <c r="D198" s="232"/>
      <c r="E198" s="231"/>
      <c r="F198" s="231"/>
      <c r="G198" s="233"/>
      <c r="H198" s="234"/>
      <c r="I198" s="234"/>
      <c r="J198" s="234"/>
      <c r="K198" s="236"/>
    </row>
    <row r="199" spans="1:11" ht="19.5">
      <c r="A199" s="236"/>
      <c r="B199" s="230"/>
      <c r="C199" s="231"/>
      <c r="D199" s="232"/>
      <c r="E199" s="231"/>
      <c r="F199" s="231"/>
      <c r="G199" s="233"/>
      <c r="H199" s="234"/>
      <c r="I199" s="234"/>
      <c r="J199" s="234"/>
      <c r="K199" s="236"/>
    </row>
    <row r="200" spans="1:11" ht="19.5">
      <c r="A200" s="236"/>
      <c r="B200" s="230"/>
      <c r="C200" s="231"/>
      <c r="D200" s="232"/>
      <c r="E200" s="231"/>
      <c r="F200" s="231"/>
      <c r="G200" s="233"/>
      <c r="H200" s="234"/>
      <c r="I200" s="234"/>
      <c r="J200" s="234"/>
      <c r="K200" s="236"/>
    </row>
    <row r="201" spans="1:11" ht="19.5">
      <c r="A201" s="236"/>
      <c r="B201" s="230"/>
      <c r="C201" s="231"/>
      <c r="D201" s="232"/>
      <c r="E201" s="231"/>
      <c r="F201" s="231"/>
      <c r="G201" s="233"/>
      <c r="H201" s="234"/>
      <c r="I201" s="234"/>
      <c r="J201" s="234"/>
      <c r="K201" s="236"/>
    </row>
    <row r="202" spans="1:11" ht="19.5">
      <c r="A202" s="236"/>
      <c r="B202" s="230"/>
      <c r="C202" s="231"/>
      <c r="D202" s="232"/>
      <c r="E202" s="231"/>
      <c r="F202" s="231"/>
      <c r="G202" s="233"/>
      <c r="H202" s="234"/>
      <c r="I202" s="234"/>
      <c r="J202" s="234"/>
      <c r="K202" s="236"/>
    </row>
    <row r="203" spans="1:11" ht="19.5">
      <c r="A203" s="236"/>
      <c r="B203" s="230"/>
      <c r="C203" s="231"/>
      <c r="D203" s="232"/>
      <c r="E203" s="231"/>
      <c r="F203" s="231"/>
      <c r="G203" s="233"/>
      <c r="H203" s="234"/>
      <c r="I203" s="234"/>
      <c r="J203" s="234"/>
      <c r="K203" s="236"/>
    </row>
    <row r="204" spans="1:11" ht="19.5">
      <c r="A204" s="236"/>
      <c r="B204" s="230"/>
      <c r="C204" s="231"/>
      <c r="D204" s="232"/>
      <c r="E204" s="231"/>
      <c r="F204" s="231"/>
      <c r="G204" s="233"/>
      <c r="H204" s="234"/>
      <c r="I204" s="234"/>
      <c r="J204" s="234"/>
      <c r="K204" s="236"/>
    </row>
    <row r="205" spans="1:11" ht="20.25">
      <c r="A205" s="236"/>
      <c r="B205" s="230"/>
      <c r="C205" s="231"/>
      <c r="D205" s="237"/>
      <c r="E205" s="200"/>
      <c r="F205" s="200"/>
      <c r="G205" s="200"/>
      <c r="H205" s="200"/>
      <c r="I205" s="200"/>
      <c r="J205" s="200"/>
      <c r="K205" s="236"/>
    </row>
    <row r="206" spans="1:11" ht="19.5">
      <c r="A206" s="236"/>
      <c r="B206" s="230"/>
      <c r="C206" s="231"/>
      <c r="D206" s="232"/>
      <c r="E206" s="231"/>
      <c r="F206" s="231"/>
      <c r="G206" s="233"/>
      <c r="H206" s="234"/>
      <c r="I206" s="234"/>
      <c r="J206" s="234"/>
      <c r="K206" s="236"/>
    </row>
    <row r="207" spans="1:11" ht="19.5">
      <c r="A207" s="236"/>
      <c r="B207" s="230"/>
      <c r="C207" s="231"/>
      <c r="D207" s="238"/>
      <c r="E207" s="231"/>
      <c r="F207" s="231"/>
      <c r="G207" s="233"/>
      <c r="H207" s="234"/>
      <c r="I207" s="234"/>
      <c r="J207" s="234"/>
      <c r="K207" s="236"/>
    </row>
    <row r="208" spans="1:11" ht="19.5">
      <c r="A208" s="236"/>
      <c r="B208" s="230"/>
      <c r="C208" s="231"/>
      <c r="D208" s="232"/>
      <c r="E208" s="231"/>
      <c r="F208" s="231"/>
      <c r="G208" s="233"/>
      <c r="H208" s="234"/>
      <c r="I208" s="234"/>
      <c r="J208" s="234"/>
      <c r="K208" s="236"/>
    </row>
    <row r="209" spans="1:11" ht="19.5">
      <c r="A209" s="236"/>
      <c r="B209" s="230"/>
      <c r="C209" s="231"/>
      <c r="D209" s="232"/>
      <c r="E209" s="231"/>
      <c r="F209" s="231"/>
      <c r="G209" s="233"/>
      <c r="H209" s="234"/>
      <c r="I209" s="234"/>
      <c r="J209" s="234"/>
      <c r="K209" s="236"/>
    </row>
    <row r="210" spans="1:11" ht="19.5">
      <c r="A210" s="236"/>
      <c r="B210" s="230"/>
      <c r="C210" s="231"/>
      <c r="D210" s="238"/>
      <c r="E210" s="231"/>
      <c r="F210" s="231"/>
      <c r="G210" s="233"/>
      <c r="H210" s="234"/>
      <c r="I210" s="234"/>
      <c r="J210" s="234"/>
      <c r="K210" s="236"/>
    </row>
    <row r="211" spans="1:11" ht="19.5">
      <c r="A211" s="236"/>
      <c r="B211" s="230"/>
      <c r="C211" s="231"/>
      <c r="D211" s="232"/>
      <c r="E211" s="231"/>
      <c r="F211" s="231"/>
      <c r="G211" s="233"/>
      <c r="H211" s="234"/>
      <c r="I211" s="234"/>
      <c r="J211" s="234"/>
      <c r="K211" s="236"/>
    </row>
    <row r="212" spans="1:11" ht="19.5">
      <c r="A212" s="236"/>
      <c r="B212" s="230"/>
      <c r="C212" s="231"/>
      <c r="D212" s="238"/>
      <c r="E212" s="231"/>
      <c r="F212" s="231"/>
      <c r="G212" s="233"/>
      <c r="H212" s="234"/>
      <c r="I212" s="234"/>
      <c r="J212" s="234"/>
      <c r="K212" s="236"/>
    </row>
    <row r="213" spans="1:11" ht="19.5">
      <c r="A213" s="236"/>
      <c r="B213" s="230"/>
      <c r="C213" s="231"/>
      <c r="D213" s="232"/>
      <c r="E213" s="231"/>
      <c r="F213" s="231"/>
      <c r="G213" s="233"/>
      <c r="H213" s="234"/>
      <c r="I213" s="234"/>
      <c r="J213" s="234"/>
      <c r="K213" s="236"/>
    </row>
    <row r="214" spans="1:11" ht="19.5">
      <c r="A214" s="236"/>
      <c r="B214" s="230"/>
      <c r="C214" s="231"/>
      <c r="D214" s="238"/>
      <c r="E214" s="231"/>
      <c r="F214" s="231"/>
      <c r="G214" s="233"/>
      <c r="H214" s="234"/>
      <c r="I214" s="234"/>
      <c r="J214" s="234"/>
      <c r="K214" s="236"/>
    </row>
    <row r="215" spans="1:11" ht="19.5">
      <c r="A215" s="236"/>
      <c r="B215" s="230"/>
      <c r="C215" s="231"/>
      <c r="D215" s="238"/>
      <c r="E215" s="231"/>
      <c r="F215" s="231"/>
      <c r="G215" s="233"/>
      <c r="H215" s="234"/>
      <c r="I215" s="234"/>
      <c r="J215" s="234"/>
      <c r="K215" s="236"/>
    </row>
    <row r="216" spans="1:11" ht="19.5">
      <c r="A216" s="236"/>
      <c r="B216" s="230"/>
      <c r="C216" s="231"/>
      <c r="D216" s="238"/>
      <c r="E216" s="231"/>
      <c r="F216" s="231"/>
      <c r="G216" s="233"/>
      <c r="H216" s="234"/>
      <c r="I216" s="234"/>
      <c r="J216" s="234"/>
      <c r="K216" s="236"/>
    </row>
    <row r="217" spans="1:11" ht="19.5">
      <c r="A217" s="236"/>
      <c r="B217" s="230"/>
      <c r="C217" s="231"/>
      <c r="D217" s="232"/>
      <c r="E217" s="231"/>
      <c r="F217" s="231"/>
      <c r="G217" s="233"/>
      <c r="H217" s="234"/>
      <c r="I217" s="234"/>
      <c r="J217" s="234"/>
      <c r="K217" s="236"/>
    </row>
    <row r="218" spans="1:11" ht="19.5">
      <c r="A218" s="236"/>
      <c r="B218" s="230"/>
      <c r="C218" s="231"/>
      <c r="D218" s="232"/>
      <c r="E218" s="231"/>
      <c r="F218" s="231"/>
      <c r="G218" s="233"/>
      <c r="H218" s="234"/>
      <c r="I218" s="234"/>
      <c r="J218" s="234"/>
      <c r="K218" s="236"/>
    </row>
    <row r="219" spans="1:11" ht="19.5">
      <c r="A219" s="236"/>
      <c r="B219" s="230"/>
      <c r="C219" s="231"/>
      <c r="D219" s="232"/>
      <c r="E219" s="231"/>
      <c r="F219" s="231"/>
      <c r="G219" s="233"/>
      <c r="H219" s="234"/>
      <c r="I219" s="234"/>
      <c r="J219" s="234"/>
      <c r="K219" s="236"/>
    </row>
    <row r="220" spans="1:11" ht="19.5">
      <c r="A220" s="236"/>
      <c r="B220" s="230"/>
      <c r="C220" s="231"/>
      <c r="D220" s="238"/>
      <c r="E220" s="231"/>
      <c r="F220" s="231"/>
      <c r="G220" s="233"/>
      <c r="H220" s="234"/>
      <c r="I220" s="234"/>
      <c r="J220" s="234"/>
      <c r="K220" s="236"/>
    </row>
    <row r="221" spans="1:11" ht="20.25">
      <c r="A221" s="236"/>
      <c r="B221" s="230"/>
      <c r="C221" s="231"/>
      <c r="D221" s="237"/>
      <c r="E221" s="200"/>
      <c r="F221" s="200"/>
      <c r="G221" s="200"/>
      <c r="H221" s="200"/>
      <c r="I221" s="200"/>
      <c r="J221" s="200"/>
      <c r="K221" s="236"/>
    </row>
    <row r="222" spans="1:11" ht="19.5">
      <c r="A222" s="236"/>
      <c r="B222" s="230"/>
      <c r="C222" s="231"/>
      <c r="D222" s="232"/>
      <c r="E222" s="231"/>
      <c r="F222" s="231"/>
      <c r="G222" s="233"/>
      <c r="H222" s="234"/>
      <c r="I222" s="234"/>
      <c r="J222" s="234"/>
      <c r="K222" s="236"/>
    </row>
    <row r="223" spans="1:11" ht="19.5">
      <c r="A223" s="236"/>
      <c r="B223" s="230"/>
      <c r="C223" s="231"/>
      <c r="D223" s="232"/>
      <c r="E223" s="231"/>
      <c r="F223" s="231"/>
      <c r="G223" s="233"/>
      <c r="H223" s="234"/>
      <c r="I223" s="234"/>
      <c r="J223" s="234"/>
      <c r="K223" s="236"/>
    </row>
    <row r="224" spans="1:11" ht="19.5">
      <c r="A224" s="236"/>
      <c r="B224" s="230"/>
      <c r="C224" s="231"/>
      <c r="D224" s="232"/>
      <c r="E224" s="231"/>
      <c r="F224" s="231"/>
      <c r="G224" s="233"/>
      <c r="H224" s="234"/>
      <c r="I224" s="234"/>
      <c r="J224" s="234"/>
      <c r="K224" s="236"/>
    </row>
    <row r="225" spans="1:11" ht="19.5">
      <c r="A225" s="236"/>
      <c r="B225" s="230"/>
      <c r="C225" s="231"/>
      <c r="D225" s="232"/>
      <c r="E225" s="231"/>
      <c r="F225" s="231"/>
      <c r="G225" s="233"/>
      <c r="H225" s="234"/>
      <c r="I225" s="234"/>
      <c r="J225" s="234"/>
      <c r="K225" s="236"/>
    </row>
    <row r="226" spans="1:11" ht="19.5">
      <c r="A226" s="236"/>
      <c r="B226" s="230"/>
      <c r="C226" s="231"/>
      <c r="D226" s="232"/>
      <c r="E226" s="231"/>
      <c r="F226" s="231"/>
      <c r="G226" s="233"/>
      <c r="H226" s="234"/>
      <c r="I226" s="234"/>
      <c r="J226" s="234"/>
      <c r="K226" s="236"/>
    </row>
    <row r="227" spans="1:11" ht="19.5">
      <c r="A227" s="236"/>
      <c r="B227" s="230"/>
      <c r="C227" s="231"/>
      <c r="D227" s="232"/>
      <c r="E227" s="231"/>
      <c r="F227" s="231"/>
      <c r="G227" s="233"/>
      <c r="H227" s="234"/>
      <c r="I227" s="234"/>
      <c r="J227" s="234"/>
      <c r="K227" s="236"/>
    </row>
    <row r="228" spans="1:11" ht="19.5">
      <c r="A228" s="236"/>
      <c r="B228" s="230"/>
      <c r="C228" s="231"/>
      <c r="D228" s="232"/>
      <c r="E228" s="231"/>
      <c r="F228" s="231"/>
      <c r="G228" s="233"/>
      <c r="H228" s="234"/>
      <c r="I228" s="234"/>
      <c r="J228" s="234"/>
      <c r="K228" s="236"/>
    </row>
    <row r="229" spans="1:11" ht="19.5">
      <c r="A229" s="236"/>
      <c r="B229" s="230"/>
      <c r="C229" s="231"/>
      <c r="D229" s="232"/>
      <c r="E229" s="231"/>
      <c r="F229" s="231"/>
      <c r="G229" s="233"/>
      <c r="H229" s="234"/>
      <c r="I229" s="234"/>
      <c r="J229" s="234"/>
      <c r="K229" s="236"/>
    </row>
    <row r="230" spans="1:11" ht="19.5">
      <c r="A230" s="236"/>
      <c r="B230" s="230"/>
      <c r="C230" s="231"/>
      <c r="D230" s="232"/>
      <c r="E230" s="231"/>
      <c r="F230" s="231"/>
      <c r="G230" s="233"/>
      <c r="H230" s="234"/>
      <c r="I230" s="234"/>
      <c r="J230" s="234"/>
      <c r="K230" s="236"/>
    </row>
    <row r="231" spans="1:11" ht="19.5">
      <c r="A231" s="236"/>
      <c r="B231" s="230"/>
      <c r="C231" s="231"/>
      <c r="D231" s="232"/>
      <c r="E231" s="231"/>
      <c r="F231" s="231"/>
      <c r="G231" s="233"/>
      <c r="H231" s="234"/>
      <c r="I231" s="234"/>
      <c r="J231" s="234"/>
      <c r="K231" s="236"/>
    </row>
    <row r="232" spans="1:11" ht="19.5">
      <c r="A232" s="236"/>
      <c r="B232" s="230"/>
      <c r="C232" s="231"/>
      <c r="D232" s="232"/>
      <c r="E232" s="231"/>
      <c r="F232" s="231"/>
      <c r="G232" s="233"/>
      <c r="H232" s="234"/>
      <c r="I232" s="234"/>
      <c r="J232" s="234"/>
      <c r="K232" s="236"/>
    </row>
    <row r="233" spans="1:11" ht="19.5">
      <c r="A233" s="236"/>
      <c r="B233" s="230"/>
      <c r="C233" s="231"/>
      <c r="D233" s="232"/>
      <c r="E233" s="231"/>
      <c r="F233" s="231"/>
      <c r="G233" s="233"/>
      <c r="H233" s="234"/>
      <c r="I233" s="234"/>
      <c r="J233" s="234"/>
      <c r="K233" s="236"/>
    </row>
    <row r="234" spans="1:11" ht="19.5">
      <c r="A234" s="236"/>
      <c r="B234" s="230"/>
      <c r="C234" s="231"/>
      <c r="D234" s="232"/>
      <c r="E234" s="231"/>
      <c r="F234" s="231"/>
      <c r="G234" s="233"/>
      <c r="H234" s="234"/>
      <c r="I234" s="234"/>
      <c r="J234" s="234"/>
      <c r="K234" s="236"/>
    </row>
    <row r="235" spans="1:11" ht="19.5">
      <c r="A235" s="236"/>
      <c r="B235" s="230"/>
      <c r="C235" s="231"/>
      <c r="D235" s="232"/>
      <c r="E235" s="231"/>
      <c r="F235" s="231"/>
      <c r="G235" s="233"/>
      <c r="H235" s="234"/>
      <c r="I235" s="234"/>
      <c r="J235" s="234"/>
      <c r="K235" s="236"/>
    </row>
    <row r="236" spans="1:11" ht="19.5">
      <c r="A236" s="236"/>
      <c r="B236" s="230"/>
      <c r="C236" s="231"/>
      <c r="D236" s="232"/>
      <c r="E236" s="231"/>
      <c r="F236" s="231"/>
      <c r="G236" s="233"/>
      <c r="H236" s="234"/>
      <c r="I236" s="234"/>
      <c r="J236" s="234"/>
      <c r="K236" s="236"/>
    </row>
    <row r="237" spans="1:11" ht="19.5">
      <c r="A237" s="236"/>
      <c r="B237" s="230"/>
      <c r="C237" s="231"/>
      <c r="D237" s="232"/>
      <c r="E237" s="231"/>
      <c r="F237" s="231"/>
      <c r="G237" s="233"/>
      <c r="H237" s="234"/>
      <c r="I237" s="234"/>
      <c r="J237" s="234"/>
      <c r="K237" s="236"/>
    </row>
    <row r="238" spans="1:11" ht="19.5">
      <c r="A238" s="236"/>
      <c r="B238" s="230"/>
      <c r="C238" s="231"/>
      <c r="D238" s="232"/>
      <c r="E238" s="231"/>
      <c r="F238" s="231"/>
      <c r="G238" s="233"/>
      <c r="H238" s="234"/>
      <c r="I238" s="234"/>
      <c r="J238" s="234"/>
      <c r="K238" s="236"/>
    </row>
    <row r="239" spans="1:11" ht="19.5">
      <c r="A239" s="236"/>
      <c r="B239" s="230"/>
      <c r="C239" s="231"/>
      <c r="D239" s="238"/>
      <c r="E239" s="231"/>
      <c r="F239" s="231"/>
      <c r="G239" s="233"/>
      <c r="H239" s="234"/>
      <c r="I239" s="234"/>
      <c r="J239" s="234"/>
      <c r="K239" s="236"/>
    </row>
    <row r="240" spans="1:11" ht="19.5">
      <c r="A240" s="236"/>
      <c r="B240" s="230"/>
      <c r="C240" s="231"/>
      <c r="D240" s="232"/>
      <c r="E240" s="231"/>
      <c r="F240" s="231"/>
      <c r="G240" s="233"/>
      <c r="H240" s="234"/>
      <c r="I240" s="234"/>
      <c r="J240" s="234"/>
      <c r="K240" s="236"/>
    </row>
    <row r="241" spans="1:11" ht="19.5">
      <c r="A241" s="236"/>
      <c r="B241" s="230"/>
      <c r="C241" s="231"/>
      <c r="D241" s="232"/>
      <c r="E241" s="231"/>
      <c r="F241" s="231"/>
      <c r="G241" s="233"/>
      <c r="H241" s="234"/>
      <c r="I241" s="234"/>
      <c r="J241" s="234"/>
      <c r="K241" s="236"/>
    </row>
    <row r="242" spans="1:11" ht="19.5">
      <c r="A242" s="236"/>
      <c r="B242" s="230"/>
      <c r="C242" s="231"/>
      <c r="D242" s="232"/>
      <c r="E242" s="231"/>
      <c r="F242" s="231"/>
      <c r="G242" s="233"/>
      <c r="H242" s="234"/>
      <c r="I242" s="234"/>
      <c r="J242" s="234"/>
      <c r="K242" s="236"/>
    </row>
    <row r="243" spans="1:11" ht="19.5">
      <c r="A243" s="236"/>
      <c r="B243" s="230"/>
      <c r="C243" s="231"/>
      <c r="D243" s="232"/>
      <c r="E243" s="231"/>
      <c r="F243" s="231"/>
      <c r="G243" s="233"/>
      <c r="H243" s="234"/>
      <c r="I243" s="234"/>
      <c r="J243" s="234"/>
      <c r="K243" s="236"/>
    </row>
    <row r="244" spans="1:11" ht="19.5">
      <c r="A244" s="236"/>
      <c r="B244" s="230"/>
      <c r="C244" s="231"/>
      <c r="D244" s="232"/>
      <c r="E244" s="231"/>
      <c r="F244" s="231"/>
      <c r="G244" s="233"/>
      <c r="H244" s="234"/>
      <c r="I244" s="234"/>
      <c r="J244" s="234"/>
      <c r="K244" s="236"/>
    </row>
    <row r="245" spans="1:11" ht="19.5">
      <c r="A245" s="236"/>
      <c r="B245" s="230"/>
      <c r="C245" s="231"/>
      <c r="D245" s="232"/>
      <c r="E245" s="231"/>
      <c r="F245" s="231"/>
      <c r="G245" s="233"/>
      <c r="H245" s="234"/>
      <c r="I245" s="234"/>
      <c r="J245" s="234"/>
      <c r="K245" s="236"/>
    </row>
    <row r="246" spans="1:11" ht="19.5">
      <c r="A246" s="236"/>
      <c r="B246" s="230"/>
      <c r="C246" s="231"/>
      <c r="D246" s="232"/>
      <c r="E246" s="231"/>
      <c r="F246" s="231"/>
      <c r="G246" s="233"/>
      <c r="H246" s="234"/>
      <c r="I246" s="234"/>
      <c r="J246" s="234"/>
      <c r="K246" s="236"/>
    </row>
    <row r="247" spans="1:11" ht="19.5">
      <c r="A247" s="236"/>
      <c r="B247" s="230"/>
      <c r="C247" s="231"/>
      <c r="D247" s="232"/>
      <c r="E247" s="231"/>
      <c r="F247" s="231"/>
      <c r="G247" s="233"/>
      <c r="H247" s="234"/>
      <c r="I247" s="234"/>
      <c r="J247" s="234"/>
      <c r="K247" s="236"/>
    </row>
    <row r="248" spans="1:11" ht="19.5">
      <c r="A248" s="236"/>
      <c r="B248" s="230"/>
      <c r="C248" s="231"/>
      <c r="D248" s="232"/>
      <c r="E248" s="231"/>
      <c r="F248" s="231"/>
      <c r="G248" s="233"/>
      <c r="H248" s="234"/>
      <c r="I248" s="234"/>
      <c r="J248" s="234"/>
      <c r="K248" s="236"/>
    </row>
    <row r="249" spans="1:11" ht="19.5">
      <c r="A249" s="236"/>
      <c r="B249" s="230"/>
      <c r="C249" s="231"/>
      <c r="D249" s="232"/>
      <c r="E249" s="231"/>
      <c r="F249" s="231"/>
      <c r="G249" s="233"/>
      <c r="H249" s="234"/>
      <c r="I249" s="234"/>
      <c r="J249" s="234"/>
      <c r="K249" s="236"/>
    </row>
    <row r="250" spans="1:11" ht="19.5">
      <c r="A250" s="236"/>
      <c r="B250" s="230"/>
      <c r="C250" s="231"/>
      <c r="D250" s="232"/>
      <c r="E250" s="231"/>
      <c r="F250" s="231"/>
      <c r="G250" s="233"/>
      <c r="H250" s="234"/>
      <c r="I250" s="234"/>
      <c r="J250" s="234"/>
      <c r="K250" s="236"/>
    </row>
    <row r="251" spans="1:11" ht="19.5">
      <c r="A251" s="236"/>
      <c r="B251" s="230"/>
      <c r="C251" s="231"/>
      <c r="D251" s="238"/>
      <c r="E251" s="231"/>
      <c r="F251" s="231"/>
      <c r="G251" s="233"/>
      <c r="H251" s="234"/>
      <c r="I251" s="234"/>
      <c r="J251" s="234"/>
      <c r="K251" s="236"/>
    </row>
    <row r="252" spans="1:11" ht="19.5">
      <c r="A252" s="236"/>
      <c r="B252" s="230"/>
      <c r="C252" s="231"/>
      <c r="D252" s="232"/>
      <c r="E252" s="231"/>
      <c r="F252" s="231"/>
      <c r="G252" s="233"/>
      <c r="H252" s="234"/>
      <c r="I252" s="234"/>
      <c r="J252" s="234"/>
      <c r="K252" s="236"/>
    </row>
    <row r="253" spans="1:11" ht="19.5">
      <c r="A253" s="236"/>
      <c r="B253" s="230"/>
      <c r="C253" s="231"/>
      <c r="D253" s="238"/>
      <c r="E253" s="231"/>
      <c r="F253" s="231"/>
      <c r="G253" s="233"/>
      <c r="H253" s="234"/>
      <c r="I253" s="234"/>
      <c r="J253" s="234"/>
      <c r="K253" s="236"/>
    </row>
    <row r="254" spans="1:11" ht="19.5">
      <c r="A254" s="236"/>
      <c r="B254" s="230"/>
      <c r="C254" s="231"/>
      <c r="D254" s="232"/>
      <c r="E254" s="231"/>
      <c r="F254" s="231"/>
      <c r="G254" s="233"/>
      <c r="H254" s="234"/>
      <c r="I254" s="234"/>
      <c r="J254" s="234"/>
      <c r="K254" s="236"/>
    </row>
    <row r="255" spans="1:11" ht="19.5">
      <c r="A255" s="236"/>
      <c r="B255" s="230"/>
      <c r="C255" s="231"/>
      <c r="D255" s="232"/>
      <c r="E255" s="231"/>
      <c r="F255" s="231"/>
      <c r="G255" s="233"/>
      <c r="H255" s="234"/>
      <c r="I255" s="234"/>
      <c r="J255" s="234"/>
      <c r="K255" s="236"/>
    </row>
    <row r="256" spans="1:11" ht="19.5">
      <c r="A256" s="236"/>
      <c r="B256" s="230"/>
      <c r="C256" s="231"/>
      <c r="D256" s="232"/>
      <c r="E256" s="231"/>
      <c r="F256" s="231"/>
      <c r="G256" s="233"/>
      <c r="H256" s="234"/>
      <c r="I256" s="234"/>
      <c r="J256" s="234"/>
      <c r="K256" s="236"/>
    </row>
    <row r="257" spans="1:11" ht="19.5">
      <c r="A257" s="236"/>
      <c r="B257" s="230"/>
      <c r="C257" s="231"/>
      <c r="D257" s="238"/>
      <c r="E257" s="231"/>
      <c r="F257" s="231"/>
      <c r="G257" s="233"/>
      <c r="H257" s="234"/>
      <c r="I257" s="234"/>
      <c r="J257" s="234"/>
      <c r="K257" s="236"/>
    </row>
    <row r="258" spans="1:11" ht="19.5">
      <c r="A258" s="236"/>
      <c r="B258" s="230"/>
      <c r="C258" s="231"/>
      <c r="D258" s="232"/>
      <c r="E258" s="231"/>
      <c r="F258" s="231"/>
      <c r="G258" s="233"/>
      <c r="H258" s="234"/>
      <c r="I258" s="234"/>
      <c r="J258" s="234"/>
      <c r="K258" s="236"/>
    </row>
    <row r="259" spans="1:11" ht="19.5">
      <c r="A259" s="236"/>
      <c r="B259" s="230"/>
      <c r="C259" s="231"/>
      <c r="D259" s="238"/>
      <c r="E259" s="231"/>
      <c r="F259" s="231"/>
      <c r="G259" s="233"/>
      <c r="H259" s="234"/>
      <c r="I259" s="234"/>
      <c r="J259" s="234"/>
      <c r="K259" s="236"/>
    </row>
    <row r="260" spans="1:11" ht="19.5">
      <c r="A260" s="236"/>
      <c r="B260" s="230"/>
      <c r="C260" s="231"/>
      <c r="D260" s="238"/>
      <c r="E260" s="231"/>
      <c r="F260" s="231"/>
      <c r="G260" s="233"/>
      <c r="H260" s="234"/>
      <c r="I260" s="234"/>
      <c r="J260" s="234"/>
      <c r="K260" s="236"/>
    </row>
    <row r="261" spans="1:11" ht="19.5">
      <c r="A261" s="236"/>
      <c r="B261" s="230"/>
      <c r="C261" s="231"/>
      <c r="D261" s="238"/>
      <c r="E261" s="231"/>
      <c r="F261" s="231"/>
      <c r="G261" s="233"/>
      <c r="H261" s="234"/>
      <c r="I261" s="234"/>
      <c r="J261" s="234"/>
      <c r="K261" s="236"/>
    </row>
    <row r="262" spans="1:11" ht="19.5">
      <c r="A262" s="236"/>
      <c r="B262" s="230"/>
      <c r="C262" s="231"/>
      <c r="D262" s="232"/>
      <c r="E262" s="231"/>
      <c r="F262" s="231"/>
      <c r="G262" s="233"/>
      <c r="H262" s="234"/>
      <c r="I262" s="234"/>
      <c r="J262" s="234"/>
      <c r="K262" s="236"/>
    </row>
    <row r="263" spans="1:11" ht="19.5">
      <c r="A263" s="236"/>
      <c r="B263" s="230"/>
      <c r="C263" s="231"/>
      <c r="D263" s="232"/>
      <c r="E263" s="231"/>
      <c r="F263" s="231"/>
      <c r="G263" s="233"/>
      <c r="H263" s="234"/>
      <c r="I263" s="234"/>
      <c r="J263" s="234"/>
      <c r="K263" s="236"/>
    </row>
    <row r="264" spans="1:11" ht="19.5">
      <c r="A264" s="236"/>
      <c r="B264" s="230"/>
      <c r="C264" s="231"/>
      <c r="D264" s="238"/>
      <c r="E264" s="231"/>
      <c r="F264" s="231"/>
      <c r="G264" s="233"/>
      <c r="H264" s="234"/>
      <c r="I264" s="234"/>
      <c r="J264" s="234"/>
      <c r="K264" s="236"/>
    </row>
    <row r="265" spans="1:11" ht="19.5">
      <c r="A265" s="236"/>
      <c r="B265" s="230"/>
      <c r="C265" s="231"/>
      <c r="D265" s="232"/>
      <c r="E265" s="231"/>
      <c r="F265" s="231"/>
      <c r="G265" s="233"/>
      <c r="H265" s="234"/>
      <c r="I265" s="234"/>
      <c r="J265" s="234"/>
      <c r="K265" s="236"/>
    </row>
    <row r="266" spans="1:11" ht="19.5">
      <c r="A266" s="236"/>
      <c r="B266" s="230"/>
      <c r="C266" s="231"/>
      <c r="D266" s="238"/>
      <c r="E266" s="231"/>
      <c r="F266" s="231"/>
      <c r="G266" s="233"/>
      <c r="H266" s="234"/>
      <c r="I266" s="234"/>
      <c r="J266" s="234"/>
      <c r="K266" s="236"/>
    </row>
    <row r="267" spans="1:11" ht="19.5">
      <c r="A267" s="236"/>
      <c r="B267" s="230"/>
      <c r="C267" s="231"/>
      <c r="D267" s="232"/>
      <c r="E267" s="231"/>
      <c r="F267" s="231"/>
      <c r="G267" s="233"/>
      <c r="H267" s="234"/>
      <c r="I267" s="234"/>
      <c r="J267" s="234"/>
      <c r="K267" s="236"/>
    </row>
    <row r="268" spans="1:11" ht="19.5">
      <c r="A268" s="236"/>
      <c r="B268" s="230"/>
      <c r="C268" s="231"/>
      <c r="D268" s="232"/>
      <c r="E268" s="231"/>
      <c r="F268" s="231"/>
      <c r="G268" s="233"/>
      <c r="H268" s="234"/>
      <c r="I268" s="234"/>
      <c r="J268" s="234"/>
      <c r="K268" s="236"/>
    </row>
    <row r="269" spans="1:11" ht="19.5">
      <c r="A269" s="236"/>
      <c r="B269" s="230"/>
      <c r="C269" s="231"/>
      <c r="D269" s="238"/>
      <c r="E269" s="231"/>
      <c r="F269" s="231"/>
      <c r="G269" s="233"/>
      <c r="H269" s="234"/>
      <c r="I269" s="234"/>
      <c r="J269" s="234"/>
      <c r="K269" s="236"/>
    </row>
    <row r="270" spans="1:11" ht="19.5">
      <c r="A270" s="236"/>
      <c r="B270" s="230"/>
      <c r="C270" s="231"/>
      <c r="D270" s="232"/>
      <c r="E270" s="231"/>
      <c r="F270" s="231"/>
      <c r="G270" s="233"/>
      <c r="H270" s="234"/>
      <c r="I270" s="234"/>
      <c r="J270" s="234"/>
      <c r="K270" s="236"/>
    </row>
    <row r="271" spans="1:11" ht="19.5">
      <c r="A271" s="236"/>
      <c r="B271" s="230"/>
      <c r="C271" s="231"/>
      <c r="D271" s="232"/>
      <c r="E271" s="231"/>
      <c r="F271" s="231"/>
      <c r="G271" s="233"/>
      <c r="H271" s="234"/>
      <c r="I271" s="234"/>
      <c r="J271" s="234"/>
      <c r="K271" s="236"/>
    </row>
    <row r="272" spans="1:11" ht="19.5">
      <c r="A272" s="236"/>
      <c r="B272" s="230"/>
      <c r="C272" s="231"/>
      <c r="D272" s="232"/>
      <c r="E272" s="231"/>
      <c r="F272" s="231"/>
      <c r="G272" s="233"/>
      <c r="H272" s="234"/>
      <c r="I272" s="234"/>
      <c r="J272" s="234"/>
      <c r="K272" s="236"/>
    </row>
    <row r="273" spans="1:11" ht="19.5">
      <c r="A273" s="236"/>
      <c r="B273" s="230"/>
      <c r="C273" s="231"/>
      <c r="D273" s="232"/>
      <c r="E273" s="231"/>
      <c r="F273" s="231"/>
      <c r="G273" s="233"/>
      <c r="H273" s="234"/>
      <c r="I273" s="234"/>
      <c r="J273" s="234"/>
      <c r="K273" s="236"/>
    </row>
    <row r="274" spans="1:11" ht="19.5">
      <c r="A274" s="236"/>
      <c r="B274" s="230"/>
      <c r="C274" s="231"/>
      <c r="D274" s="232"/>
      <c r="E274" s="231"/>
      <c r="F274" s="231"/>
      <c r="G274" s="233"/>
      <c r="H274" s="234"/>
      <c r="I274" s="234"/>
      <c r="J274" s="234"/>
      <c r="K274" s="236"/>
    </row>
    <row r="275" spans="1:11" ht="19.5">
      <c r="A275" s="236"/>
      <c r="B275" s="230"/>
      <c r="C275" s="231"/>
      <c r="D275" s="232"/>
      <c r="E275" s="231"/>
      <c r="F275" s="231"/>
      <c r="G275" s="233"/>
      <c r="H275" s="234"/>
      <c r="I275" s="234"/>
      <c r="J275" s="234"/>
      <c r="K275" s="236"/>
    </row>
    <row r="276" spans="1:11" ht="19.5">
      <c r="A276" s="236"/>
      <c r="B276" s="230"/>
      <c r="C276" s="231"/>
      <c r="D276" s="232"/>
      <c r="E276" s="231"/>
      <c r="F276" s="231"/>
      <c r="G276" s="233"/>
      <c r="H276" s="234"/>
      <c r="I276" s="234"/>
      <c r="J276" s="234"/>
      <c r="K276" s="236"/>
    </row>
    <row r="277" spans="1:11" ht="19.5">
      <c r="A277" s="236"/>
      <c r="B277" s="230"/>
      <c r="C277" s="231"/>
      <c r="D277" s="232"/>
      <c r="E277" s="231"/>
      <c r="F277" s="231"/>
      <c r="G277" s="233"/>
      <c r="H277" s="234"/>
      <c r="I277" s="234"/>
      <c r="J277" s="234"/>
      <c r="K277" s="236"/>
    </row>
    <row r="278" spans="1:11" ht="19.5">
      <c r="A278" s="236"/>
      <c r="B278" s="230"/>
      <c r="C278" s="231"/>
      <c r="D278" s="232"/>
      <c r="E278" s="231"/>
      <c r="F278" s="231"/>
      <c r="G278" s="233"/>
      <c r="H278" s="234"/>
      <c r="I278" s="234"/>
      <c r="J278" s="234"/>
      <c r="K278" s="236"/>
    </row>
    <row r="279" spans="1:11" ht="19.5">
      <c r="A279" s="236"/>
      <c r="B279" s="230"/>
      <c r="C279" s="231"/>
      <c r="D279" s="232"/>
      <c r="E279" s="231"/>
      <c r="F279" s="231"/>
      <c r="G279" s="233"/>
      <c r="H279" s="234"/>
      <c r="I279" s="234"/>
      <c r="J279" s="234"/>
      <c r="K279" s="236"/>
    </row>
    <row r="280" spans="1:11" ht="19.5">
      <c r="A280" s="236"/>
      <c r="B280" s="230"/>
      <c r="C280" s="231"/>
      <c r="D280" s="232"/>
      <c r="E280" s="231"/>
      <c r="F280" s="231"/>
      <c r="G280" s="233"/>
      <c r="H280" s="234"/>
      <c r="I280" s="234"/>
      <c r="J280" s="234"/>
      <c r="K280" s="236"/>
    </row>
    <row r="281" spans="1:11" ht="19.5">
      <c r="A281" s="236"/>
      <c r="B281" s="230"/>
      <c r="C281" s="231"/>
      <c r="D281" s="232"/>
      <c r="E281" s="231"/>
      <c r="F281" s="231"/>
      <c r="G281" s="233"/>
      <c r="H281" s="234"/>
      <c r="I281" s="234"/>
      <c r="J281" s="234"/>
      <c r="K281" s="236"/>
    </row>
    <row r="282" spans="1:11" ht="19.5">
      <c r="A282" s="236"/>
      <c r="B282" s="230"/>
      <c r="C282" s="231"/>
      <c r="D282" s="232"/>
      <c r="E282" s="231"/>
      <c r="F282" s="231"/>
      <c r="G282" s="233"/>
      <c r="H282" s="234"/>
      <c r="I282" s="234"/>
      <c r="J282" s="234"/>
      <c r="K282" s="236"/>
    </row>
    <row r="283" spans="1:11" ht="19.5">
      <c r="A283" s="236"/>
      <c r="B283" s="230"/>
      <c r="C283" s="231"/>
      <c r="D283" s="232"/>
      <c r="E283" s="231"/>
      <c r="F283" s="231"/>
      <c r="G283" s="233"/>
      <c r="H283" s="234"/>
      <c r="I283" s="234"/>
      <c r="J283" s="234"/>
      <c r="K283" s="236"/>
    </row>
    <row r="284" spans="1:11" ht="19.5">
      <c r="A284" s="236"/>
      <c r="B284" s="230"/>
      <c r="C284" s="231"/>
      <c r="D284" s="232"/>
      <c r="E284" s="231"/>
      <c r="F284" s="231"/>
      <c r="G284" s="233"/>
      <c r="H284" s="234"/>
      <c r="I284" s="234"/>
      <c r="J284" s="234"/>
      <c r="K284" s="236"/>
    </row>
    <row r="285" spans="1:11" ht="19.5">
      <c r="A285" s="236"/>
      <c r="B285" s="230"/>
      <c r="C285" s="231"/>
      <c r="D285" s="232"/>
      <c r="E285" s="231"/>
      <c r="F285" s="231"/>
      <c r="G285" s="233"/>
      <c r="H285" s="234"/>
      <c r="I285" s="234"/>
      <c r="J285" s="234"/>
      <c r="K285" s="236"/>
    </row>
  </sheetData>
  <autoFilter ref="B5:J285" xr:uid="{00000000-0009-0000-0000-000005000000}">
    <filterColumn colId="2">
      <filters blank="1">
        <filter val="03/28"/>
        <filter val="03/29"/>
        <filter val="03/30"/>
        <filter val="03/31"/>
        <filter val="04/06"/>
        <filter val="04/08"/>
      </filters>
    </filterColumn>
  </autoFilter>
  <mergeCells count="1">
    <mergeCell ref="B2:E2"/>
  </mergeCells>
  <conditionalFormatting sqref="C6:C105">
    <cfRule type="containsText" dxfId="9" priority="1" operator="containsText" text="Completed">
      <formula>NOT(ISERROR(SEARCH(("Completed"),(C6))))</formula>
    </cfRule>
    <cfRule type="containsText" dxfId="8" priority="2" operator="containsText" text="Confirmed">
      <formula>NOT(ISERROR(SEARCH(("Confirmed"),(C6))))</formula>
    </cfRule>
    <cfRule type="containsText" dxfId="7" priority="3" operator="containsText" text="Pending">
      <formula>NOT(ISERROR(SEARCH(("Pending"),(C6))))</formula>
    </cfRule>
    <cfRule type="containsText" dxfId="6" priority="4" operator="containsText" text="Rescheduled">
      <formula>NOT(ISERROR(SEARCH(("Rescheduled"),(C6))))</formula>
    </cfRule>
    <cfRule type="containsText" dxfId="5" priority="5" operator="containsText" text="Canceled">
      <formula>NOT(ISERROR(SEARCH(("Canceled"),(C6))))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1016"/>
  <sheetViews>
    <sheetView workbookViewId="0"/>
  </sheetViews>
  <sheetFormatPr defaultColWidth="12.5703125" defaultRowHeight="15.75" customHeight="1"/>
  <cols>
    <col min="1" max="2" width="15.5703125" customWidth="1"/>
    <col min="3" max="5" width="14.28515625" customWidth="1"/>
    <col min="6" max="8" width="9.85546875" customWidth="1"/>
    <col min="9" max="9" width="21.42578125" customWidth="1"/>
    <col min="10" max="10" width="25.42578125" customWidth="1"/>
    <col min="11" max="11" width="15.28515625" customWidth="1"/>
  </cols>
  <sheetData>
    <row r="1" spans="1:11">
      <c r="A1" s="97" t="s">
        <v>192</v>
      </c>
      <c r="B1" s="97" t="s">
        <v>3</v>
      </c>
      <c r="C1" s="98" t="s">
        <v>186</v>
      </c>
      <c r="D1" s="98" t="s">
        <v>278</v>
      </c>
      <c r="E1" s="98" t="s">
        <v>198</v>
      </c>
      <c r="F1" s="98" t="s">
        <v>197</v>
      </c>
      <c r="G1" s="99" t="s">
        <v>199</v>
      </c>
      <c r="H1" s="99" t="s">
        <v>200</v>
      </c>
      <c r="I1" s="98" t="s">
        <v>55</v>
      </c>
      <c r="J1" s="98" t="s">
        <v>56</v>
      </c>
      <c r="K1" s="98" t="s">
        <v>57</v>
      </c>
    </row>
    <row r="2" spans="1:11" ht="15.75" customHeight="1">
      <c r="A2" s="104" t="s">
        <v>6</v>
      </c>
      <c r="B2" s="104" t="s">
        <v>279</v>
      </c>
      <c r="C2" s="146" t="s">
        <v>12</v>
      </c>
      <c r="D2" s="103" t="s">
        <v>280</v>
      </c>
      <c r="E2" s="103" t="s">
        <v>216</v>
      </c>
      <c r="F2" s="106">
        <v>45186</v>
      </c>
      <c r="G2" s="239">
        <v>0.5</v>
      </c>
      <c r="H2" s="239">
        <v>0.58333333333333337</v>
      </c>
      <c r="I2" s="108" t="s">
        <v>281</v>
      </c>
      <c r="J2" s="73" t="s">
        <v>282</v>
      </c>
      <c r="K2" s="108" t="s">
        <v>283</v>
      </c>
    </row>
    <row r="3" spans="1:11">
      <c r="A3" s="103" t="s">
        <v>6</v>
      </c>
      <c r="B3" s="103" t="s">
        <v>284</v>
      </c>
      <c r="C3" s="146" t="s">
        <v>14</v>
      </c>
      <c r="D3" s="103" t="s">
        <v>285</v>
      </c>
      <c r="E3" s="103" t="s">
        <v>216</v>
      </c>
      <c r="F3" s="147">
        <v>45200</v>
      </c>
      <c r="G3" s="107">
        <v>0.5</v>
      </c>
      <c r="H3" s="107">
        <v>0.58333333333333337</v>
      </c>
      <c r="I3" s="131" t="s">
        <v>82</v>
      </c>
      <c r="J3" s="108" t="s">
        <v>286</v>
      </c>
      <c r="K3" s="108" t="s">
        <v>68</v>
      </c>
    </row>
    <row r="4" spans="1:11" ht="15.75" customHeight="1">
      <c r="A4" s="103" t="s">
        <v>6</v>
      </c>
      <c r="B4" s="103" t="s">
        <v>279</v>
      </c>
      <c r="C4" s="146" t="s">
        <v>12</v>
      </c>
      <c r="D4" s="103" t="s">
        <v>287</v>
      </c>
      <c r="E4" s="103" t="s">
        <v>216</v>
      </c>
      <c r="F4" s="106">
        <v>45200</v>
      </c>
      <c r="G4" s="239">
        <v>0.5</v>
      </c>
      <c r="H4" s="239">
        <v>0.58333333333333337</v>
      </c>
      <c r="I4" s="108" t="s">
        <v>288</v>
      </c>
      <c r="J4" s="73" t="s">
        <v>289</v>
      </c>
      <c r="K4" s="108" t="s">
        <v>290</v>
      </c>
    </row>
    <row r="5" spans="1:11">
      <c r="A5" s="103" t="s">
        <v>6</v>
      </c>
      <c r="B5" s="103" t="s">
        <v>284</v>
      </c>
      <c r="C5" s="146" t="s">
        <v>14</v>
      </c>
      <c r="D5" s="103" t="s">
        <v>285</v>
      </c>
      <c r="E5" s="103" t="s">
        <v>216</v>
      </c>
      <c r="F5" s="147">
        <v>45200</v>
      </c>
      <c r="G5" s="107">
        <v>0.60416666666666663</v>
      </c>
      <c r="H5" s="107">
        <v>0.6875</v>
      </c>
      <c r="I5" s="108" t="s">
        <v>291</v>
      </c>
      <c r="J5" s="108" t="s">
        <v>292</v>
      </c>
      <c r="K5" s="108" t="s">
        <v>68</v>
      </c>
    </row>
    <row r="6" spans="1:11" ht="15.75" customHeight="1">
      <c r="A6" s="103" t="s">
        <v>6</v>
      </c>
      <c r="B6" s="103" t="s">
        <v>279</v>
      </c>
      <c r="C6" s="146" t="s">
        <v>12</v>
      </c>
      <c r="D6" s="103" t="s">
        <v>287</v>
      </c>
      <c r="E6" s="103" t="s">
        <v>216</v>
      </c>
      <c r="F6" s="106">
        <v>45200</v>
      </c>
      <c r="G6" s="239">
        <v>0.60416666666666663</v>
      </c>
      <c r="H6" s="239">
        <v>0.6875</v>
      </c>
      <c r="I6" s="108" t="s">
        <v>293</v>
      </c>
      <c r="J6" s="73" t="s">
        <v>294</v>
      </c>
      <c r="K6" s="108" t="s">
        <v>290</v>
      </c>
    </row>
    <row r="7" spans="1:11" ht="15.75" customHeight="1">
      <c r="A7" s="103" t="s">
        <v>6</v>
      </c>
      <c r="B7" s="103" t="s">
        <v>279</v>
      </c>
      <c r="C7" s="146" t="s">
        <v>12</v>
      </c>
      <c r="D7" s="103" t="s">
        <v>287</v>
      </c>
      <c r="E7" s="103" t="s">
        <v>216</v>
      </c>
      <c r="F7" s="106">
        <v>45200</v>
      </c>
      <c r="G7" s="239">
        <v>0.75</v>
      </c>
      <c r="H7" s="239">
        <v>0.83333333333333337</v>
      </c>
      <c r="I7" s="108" t="s">
        <v>295</v>
      </c>
      <c r="J7" s="73" t="s">
        <v>296</v>
      </c>
      <c r="K7" s="108" t="s">
        <v>297</v>
      </c>
    </row>
    <row r="8" spans="1:11" ht="15.75" customHeight="1">
      <c r="A8" s="103" t="s">
        <v>6</v>
      </c>
      <c r="B8" s="103" t="s">
        <v>279</v>
      </c>
      <c r="C8" s="146" t="s">
        <v>12</v>
      </c>
      <c r="D8" s="103" t="s">
        <v>14</v>
      </c>
      <c r="E8" s="103" t="s">
        <v>206</v>
      </c>
      <c r="F8" s="106">
        <v>45204</v>
      </c>
      <c r="G8" s="239">
        <v>0.79166666666666663</v>
      </c>
      <c r="H8" s="239">
        <v>0.875</v>
      </c>
      <c r="I8" s="108" t="s">
        <v>298</v>
      </c>
      <c r="J8" s="73" t="s">
        <v>299</v>
      </c>
      <c r="K8" s="108" t="s">
        <v>300</v>
      </c>
    </row>
    <row r="9" spans="1:11" ht="15.75" customHeight="1">
      <c r="A9" s="126" t="s">
        <v>6</v>
      </c>
      <c r="B9" s="103" t="s">
        <v>279</v>
      </c>
      <c r="C9" s="146" t="s">
        <v>12</v>
      </c>
      <c r="D9" s="103" t="s">
        <v>301</v>
      </c>
      <c r="E9" s="103" t="s">
        <v>212</v>
      </c>
      <c r="F9" s="106">
        <v>45206</v>
      </c>
      <c r="G9" s="239">
        <v>0.66666666666666663</v>
      </c>
      <c r="H9" s="239">
        <v>0.75</v>
      </c>
      <c r="I9" s="108" t="s">
        <v>302</v>
      </c>
      <c r="J9" s="73" t="s">
        <v>303</v>
      </c>
      <c r="K9" s="108" t="s">
        <v>304</v>
      </c>
    </row>
    <row r="10" spans="1:11">
      <c r="A10" s="126" t="s">
        <v>6</v>
      </c>
      <c r="B10" s="103" t="s">
        <v>279</v>
      </c>
      <c r="C10" s="146" t="s">
        <v>12</v>
      </c>
      <c r="D10" s="103" t="s">
        <v>301</v>
      </c>
      <c r="E10" s="103" t="s">
        <v>212</v>
      </c>
      <c r="F10" s="106">
        <v>45206</v>
      </c>
      <c r="G10" s="239">
        <v>0.79166666666666663</v>
      </c>
      <c r="H10" s="239">
        <v>0.875</v>
      </c>
      <c r="I10" s="108" t="s">
        <v>305</v>
      </c>
      <c r="J10" s="108" t="s">
        <v>306</v>
      </c>
      <c r="K10" s="108" t="s">
        <v>307</v>
      </c>
    </row>
    <row r="11" spans="1:11" ht="15.75" customHeight="1">
      <c r="A11" s="126" t="s">
        <v>6</v>
      </c>
      <c r="B11" s="103" t="s">
        <v>279</v>
      </c>
      <c r="C11" s="146" t="s">
        <v>12</v>
      </c>
      <c r="D11" s="103" t="s">
        <v>287</v>
      </c>
      <c r="E11" s="103" t="s">
        <v>216</v>
      </c>
      <c r="F11" s="106">
        <v>45207</v>
      </c>
      <c r="G11" s="239">
        <v>0.5</v>
      </c>
      <c r="H11" s="239">
        <v>0.58333333333333337</v>
      </c>
      <c r="I11" s="108" t="s">
        <v>308</v>
      </c>
      <c r="J11" s="73" t="s">
        <v>309</v>
      </c>
      <c r="K11" s="108" t="s">
        <v>310</v>
      </c>
    </row>
    <row r="12" spans="1:11" ht="15.75" customHeight="1">
      <c r="A12" s="126" t="s">
        <v>6</v>
      </c>
      <c r="B12" s="126" t="s">
        <v>279</v>
      </c>
      <c r="C12" s="146" t="s">
        <v>12</v>
      </c>
      <c r="D12" s="103" t="s">
        <v>287</v>
      </c>
      <c r="E12" s="103" t="s">
        <v>216</v>
      </c>
      <c r="F12" s="106">
        <v>45207</v>
      </c>
      <c r="G12" s="239">
        <v>0.625</v>
      </c>
      <c r="H12" s="239">
        <v>0.70833333333333337</v>
      </c>
      <c r="I12" s="108" t="s">
        <v>311</v>
      </c>
      <c r="J12" s="73" t="s">
        <v>312</v>
      </c>
      <c r="K12" s="108" t="s">
        <v>313</v>
      </c>
    </row>
    <row r="13" spans="1:11">
      <c r="A13" s="126" t="s">
        <v>6</v>
      </c>
      <c r="B13" s="240" t="s">
        <v>284</v>
      </c>
      <c r="C13" s="146" t="s">
        <v>14</v>
      </c>
      <c r="D13" s="122" t="s">
        <v>220</v>
      </c>
      <c r="E13" s="103" t="s">
        <v>212</v>
      </c>
      <c r="F13" s="106">
        <v>45213</v>
      </c>
      <c r="G13" s="107">
        <v>0.625</v>
      </c>
      <c r="H13" s="107">
        <v>0.70833333333333337</v>
      </c>
      <c r="I13" s="108" t="s">
        <v>314</v>
      </c>
      <c r="J13" s="130" t="s">
        <v>315</v>
      </c>
      <c r="K13" s="108" t="s">
        <v>68</v>
      </c>
    </row>
    <row r="14" spans="1:11">
      <c r="A14" s="126" t="s">
        <v>6</v>
      </c>
      <c r="B14" s="240" t="s">
        <v>316</v>
      </c>
      <c r="C14" s="146" t="s">
        <v>14</v>
      </c>
      <c r="D14" s="103" t="s">
        <v>285</v>
      </c>
      <c r="E14" s="103" t="s">
        <v>212</v>
      </c>
      <c r="F14" s="147">
        <v>45213</v>
      </c>
      <c r="G14" s="107">
        <v>0.73958333333333337</v>
      </c>
      <c r="H14" s="107">
        <v>0.82291666666666663</v>
      </c>
      <c r="I14" s="108" t="s">
        <v>317</v>
      </c>
      <c r="J14" s="66" t="s">
        <v>318</v>
      </c>
      <c r="K14" s="108" t="s">
        <v>68</v>
      </c>
    </row>
    <row r="15" spans="1:11">
      <c r="A15" s="126" t="s">
        <v>6</v>
      </c>
      <c r="B15" s="240" t="s">
        <v>316</v>
      </c>
      <c r="C15" s="146" t="s">
        <v>14</v>
      </c>
      <c r="D15" s="103" t="s">
        <v>285</v>
      </c>
      <c r="E15" s="103" t="s">
        <v>212</v>
      </c>
      <c r="F15" s="147">
        <v>45213</v>
      </c>
      <c r="G15" s="107">
        <v>0.85416666666666663</v>
      </c>
      <c r="H15" s="107">
        <v>0.9375</v>
      </c>
      <c r="I15" s="108" t="s">
        <v>319</v>
      </c>
      <c r="J15" s="66" t="s">
        <v>320</v>
      </c>
      <c r="K15" s="108" t="s">
        <v>68</v>
      </c>
    </row>
    <row r="16" spans="1:11" ht="15.75" customHeight="1">
      <c r="A16" s="126" t="s">
        <v>6</v>
      </c>
      <c r="B16" s="240" t="s">
        <v>284</v>
      </c>
      <c r="C16" s="146" t="s">
        <v>14</v>
      </c>
      <c r="D16" s="121" t="s">
        <v>220</v>
      </c>
      <c r="E16" s="103" t="s">
        <v>216</v>
      </c>
      <c r="F16" s="147">
        <v>45214</v>
      </c>
      <c r="G16" s="107">
        <v>0.52083333333333337</v>
      </c>
      <c r="H16" s="107">
        <v>0.60416666666666663</v>
      </c>
      <c r="I16" s="108" t="s">
        <v>321</v>
      </c>
      <c r="J16" s="73" t="s">
        <v>322</v>
      </c>
      <c r="K16" s="108" t="s">
        <v>68</v>
      </c>
    </row>
    <row r="17" spans="1:11" ht="15.75" customHeight="1">
      <c r="A17" s="126" t="s">
        <v>6</v>
      </c>
      <c r="B17" s="240" t="s">
        <v>284</v>
      </c>
      <c r="C17" s="146" t="s">
        <v>14</v>
      </c>
      <c r="D17" s="121" t="s">
        <v>220</v>
      </c>
      <c r="E17" s="103" t="s">
        <v>216</v>
      </c>
      <c r="F17" s="147">
        <v>45214</v>
      </c>
      <c r="G17" s="107">
        <v>0.64583333333333337</v>
      </c>
      <c r="H17" s="107">
        <v>0.72916666666666663</v>
      </c>
      <c r="I17" s="108" t="s">
        <v>323</v>
      </c>
      <c r="J17" s="130" t="s">
        <v>324</v>
      </c>
      <c r="K17" s="108" t="s">
        <v>68</v>
      </c>
    </row>
    <row r="18" spans="1:11" ht="15.75" customHeight="1">
      <c r="A18" s="126" t="s">
        <v>6</v>
      </c>
      <c r="B18" s="126" t="s">
        <v>279</v>
      </c>
      <c r="C18" s="146" t="s">
        <v>12</v>
      </c>
      <c r="D18" s="103" t="s">
        <v>301</v>
      </c>
      <c r="E18" s="103" t="s">
        <v>212</v>
      </c>
      <c r="F18" s="106">
        <v>45220</v>
      </c>
      <c r="G18" s="239">
        <v>0.5</v>
      </c>
      <c r="H18" s="239">
        <v>0.58333333333333337</v>
      </c>
      <c r="I18" s="108" t="s">
        <v>325</v>
      </c>
      <c r="J18" s="73" t="s">
        <v>326</v>
      </c>
      <c r="K18" s="108" t="s">
        <v>327</v>
      </c>
    </row>
    <row r="19" spans="1:11" ht="15.75" customHeight="1">
      <c r="A19" s="126" t="s">
        <v>6</v>
      </c>
      <c r="B19" s="126" t="s">
        <v>279</v>
      </c>
      <c r="C19" s="146" t="s">
        <v>12</v>
      </c>
      <c r="D19" s="103" t="s">
        <v>301</v>
      </c>
      <c r="E19" s="103" t="s">
        <v>212</v>
      </c>
      <c r="F19" s="106">
        <v>45220</v>
      </c>
      <c r="G19" s="239">
        <v>0.625</v>
      </c>
      <c r="H19" s="239">
        <v>0.70833333333333337</v>
      </c>
      <c r="I19" s="108" t="s">
        <v>328</v>
      </c>
      <c r="J19" s="73" t="s">
        <v>329</v>
      </c>
      <c r="K19" s="108" t="s">
        <v>330</v>
      </c>
    </row>
    <row r="20" spans="1:11" ht="15.75" customHeight="1">
      <c r="A20" s="126" t="s">
        <v>6</v>
      </c>
      <c r="B20" s="126" t="s">
        <v>279</v>
      </c>
      <c r="C20" s="146" t="s">
        <v>12</v>
      </c>
      <c r="D20" s="103" t="s">
        <v>301</v>
      </c>
      <c r="E20" s="103" t="s">
        <v>212</v>
      </c>
      <c r="F20" s="106">
        <v>45220</v>
      </c>
      <c r="G20" s="239">
        <v>0.75</v>
      </c>
      <c r="H20" s="239">
        <v>0.83333333333333337</v>
      </c>
      <c r="I20" s="108" t="s">
        <v>331</v>
      </c>
      <c r="J20" s="73" t="s">
        <v>332</v>
      </c>
      <c r="K20" s="108" t="s">
        <v>333</v>
      </c>
    </row>
    <row r="21" spans="1:11" ht="15.75" customHeight="1">
      <c r="A21" s="126" t="s">
        <v>6</v>
      </c>
      <c r="B21" s="126" t="s">
        <v>279</v>
      </c>
      <c r="C21" s="146" t="s">
        <v>12</v>
      </c>
      <c r="D21" s="103" t="s">
        <v>301</v>
      </c>
      <c r="E21" s="103" t="s">
        <v>212</v>
      </c>
      <c r="F21" s="106">
        <v>45220</v>
      </c>
      <c r="G21" s="239">
        <v>0.875</v>
      </c>
      <c r="H21" s="239">
        <v>0.95833333333333337</v>
      </c>
      <c r="I21" s="108" t="s">
        <v>334</v>
      </c>
      <c r="J21" s="73" t="s">
        <v>335</v>
      </c>
      <c r="K21" s="108" t="s">
        <v>336</v>
      </c>
    </row>
    <row r="22" spans="1:11" ht="15.75" customHeight="1">
      <c r="A22" s="241" t="s">
        <v>6</v>
      </c>
      <c r="B22" s="240" t="s">
        <v>316</v>
      </c>
      <c r="C22" s="146" t="s">
        <v>14</v>
      </c>
      <c r="D22" s="206" t="s">
        <v>280</v>
      </c>
      <c r="E22" s="103" t="s">
        <v>216</v>
      </c>
      <c r="F22" s="147">
        <v>45221</v>
      </c>
      <c r="G22" s="107">
        <v>0.47916666666666669</v>
      </c>
      <c r="H22" s="107">
        <v>0.5625</v>
      </c>
      <c r="I22" s="108" t="s">
        <v>337</v>
      </c>
      <c r="J22" s="66" t="s">
        <v>338</v>
      </c>
      <c r="K22" s="108" t="s">
        <v>339</v>
      </c>
    </row>
    <row r="23" spans="1:11" ht="15.75" customHeight="1">
      <c r="A23" s="126" t="s">
        <v>6</v>
      </c>
      <c r="B23" s="126" t="s">
        <v>279</v>
      </c>
      <c r="C23" s="146" t="s">
        <v>12</v>
      </c>
      <c r="D23" s="103" t="s">
        <v>220</v>
      </c>
      <c r="E23" s="103" t="s">
        <v>216</v>
      </c>
      <c r="F23" s="106">
        <v>45221</v>
      </c>
      <c r="G23" s="239">
        <v>0.5</v>
      </c>
      <c r="H23" s="239">
        <v>0.58333333333333337</v>
      </c>
      <c r="I23" s="108" t="s">
        <v>340</v>
      </c>
      <c r="J23" s="73" t="s">
        <v>341</v>
      </c>
      <c r="K23" s="108" t="s">
        <v>342</v>
      </c>
    </row>
    <row r="24" spans="1:11" ht="15.75" customHeight="1">
      <c r="A24" s="242" t="s">
        <v>6</v>
      </c>
      <c r="B24" s="240" t="s">
        <v>316</v>
      </c>
      <c r="C24" s="146" t="s">
        <v>14</v>
      </c>
      <c r="D24" s="206" t="s">
        <v>280</v>
      </c>
      <c r="E24" s="103" t="s">
        <v>216</v>
      </c>
      <c r="F24" s="147">
        <v>45221</v>
      </c>
      <c r="G24" s="107">
        <v>0.60416666666666663</v>
      </c>
      <c r="H24" s="107">
        <v>0.6875</v>
      </c>
      <c r="I24" s="108" t="s">
        <v>343</v>
      </c>
      <c r="J24" s="66" t="s">
        <v>344</v>
      </c>
      <c r="K24" s="108" t="s">
        <v>339</v>
      </c>
    </row>
    <row r="25" spans="1:11" ht="15.75" customHeight="1">
      <c r="A25" s="242" t="s">
        <v>6</v>
      </c>
      <c r="B25" s="240" t="s">
        <v>284</v>
      </c>
      <c r="C25" s="146" t="s">
        <v>14</v>
      </c>
      <c r="D25" s="122" t="s">
        <v>287</v>
      </c>
      <c r="E25" s="103" t="s">
        <v>206</v>
      </c>
      <c r="F25" s="153">
        <v>45225</v>
      </c>
      <c r="G25" s="107">
        <v>0.79166666666666663</v>
      </c>
      <c r="H25" s="107">
        <v>0.875</v>
      </c>
      <c r="I25" s="108" t="s">
        <v>308</v>
      </c>
      <c r="J25" s="108" t="s">
        <v>345</v>
      </c>
      <c r="K25" s="130" t="s">
        <v>346</v>
      </c>
    </row>
    <row r="26" spans="1:11" ht="15.75" customHeight="1">
      <c r="A26" s="126" t="s">
        <v>6</v>
      </c>
      <c r="B26" s="126" t="s">
        <v>279</v>
      </c>
      <c r="C26" s="146" t="s">
        <v>12</v>
      </c>
      <c r="D26" s="103" t="s">
        <v>220</v>
      </c>
      <c r="E26" s="103" t="s">
        <v>206</v>
      </c>
      <c r="F26" s="106">
        <v>45225</v>
      </c>
      <c r="G26" s="239">
        <v>0.79166666666666663</v>
      </c>
      <c r="H26" s="239">
        <v>0.875</v>
      </c>
      <c r="I26" s="108" t="s">
        <v>347</v>
      </c>
      <c r="J26" s="73" t="s">
        <v>348</v>
      </c>
      <c r="K26" s="34" t="s">
        <v>349</v>
      </c>
    </row>
    <row r="27" spans="1:11" ht="15.75" customHeight="1">
      <c r="A27" s="242" t="s">
        <v>6</v>
      </c>
      <c r="B27" s="125" t="s">
        <v>316</v>
      </c>
      <c r="C27" s="146" t="s">
        <v>14</v>
      </c>
      <c r="D27" s="122" t="s">
        <v>287</v>
      </c>
      <c r="E27" s="103" t="s">
        <v>212</v>
      </c>
      <c r="F27" s="147">
        <v>45227</v>
      </c>
      <c r="G27" s="107">
        <v>0.55208333333333337</v>
      </c>
      <c r="H27" s="107">
        <v>0.63541666666666663</v>
      </c>
      <c r="I27" s="108" t="s">
        <v>350</v>
      </c>
      <c r="J27" s="108" t="s">
        <v>351</v>
      </c>
      <c r="K27" s="108" t="s">
        <v>352</v>
      </c>
    </row>
    <row r="28" spans="1:11" ht="15.75" customHeight="1">
      <c r="A28" s="126" t="s">
        <v>6</v>
      </c>
      <c r="B28" s="126" t="s">
        <v>279</v>
      </c>
      <c r="C28" s="146" t="s">
        <v>12</v>
      </c>
      <c r="D28" s="103" t="s">
        <v>280</v>
      </c>
      <c r="E28" s="103" t="s">
        <v>353</v>
      </c>
      <c r="F28" s="106">
        <v>45227</v>
      </c>
      <c r="G28" s="239">
        <v>0.66666666666666663</v>
      </c>
      <c r="H28" s="239">
        <v>0.75</v>
      </c>
      <c r="I28" s="108" t="s">
        <v>354</v>
      </c>
      <c r="J28" s="73" t="s">
        <v>355</v>
      </c>
      <c r="K28" s="108" t="s">
        <v>327</v>
      </c>
    </row>
    <row r="29" spans="1:11" ht="15.75" customHeight="1">
      <c r="A29" s="242" t="s">
        <v>6</v>
      </c>
      <c r="B29" s="125" t="s">
        <v>316</v>
      </c>
      <c r="C29" s="146" t="s">
        <v>14</v>
      </c>
      <c r="D29" s="122" t="s">
        <v>287</v>
      </c>
      <c r="E29" s="103" t="s">
        <v>212</v>
      </c>
      <c r="F29" s="147">
        <v>45227</v>
      </c>
      <c r="G29" s="107">
        <v>0.67708333333333337</v>
      </c>
      <c r="H29" s="107">
        <v>0.76041666666666663</v>
      </c>
      <c r="I29" s="108" t="s">
        <v>356</v>
      </c>
      <c r="J29" s="108" t="s">
        <v>357</v>
      </c>
      <c r="K29" s="108" t="s">
        <v>358</v>
      </c>
    </row>
    <row r="30" spans="1:11" ht="15.75" customHeight="1">
      <c r="A30" s="242" t="s">
        <v>6</v>
      </c>
      <c r="B30" s="125" t="s">
        <v>316</v>
      </c>
      <c r="C30" s="146" t="s">
        <v>14</v>
      </c>
      <c r="D30" s="122" t="s">
        <v>287</v>
      </c>
      <c r="E30" s="103" t="s">
        <v>212</v>
      </c>
      <c r="F30" s="147">
        <v>45227</v>
      </c>
      <c r="G30" s="107">
        <v>0.80208333333333337</v>
      </c>
      <c r="H30" s="107">
        <v>0.88541666666666663</v>
      </c>
      <c r="I30" s="108" t="s">
        <v>359</v>
      </c>
      <c r="J30" s="66" t="s">
        <v>360</v>
      </c>
      <c r="K30" s="66" t="s">
        <v>361</v>
      </c>
    </row>
    <row r="31" spans="1:11" ht="19.5">
      <c r="A31" s="103" t="s">
        <v>6</v>
      </c>
      <c r="B31" s="103" t="s">
        <v>279</v>
      </c>
      <c r="C31" s="146" t="s">
        <v>12</v>
      </c>
      <c r="D31" s="103" t="s">
        <v>301</v>
      </c>
      <c r="E31" s="103" t="s">
        <v>212</v>
      </c>
      <c r="F31" s="106">
        <v>45227</v>
      </c>
      <c r="G31" s="239">
        <v>0.8125</v>
      </c>
      <c r="H31" s="239">
        <v>0.89583333333333337</v>
      </c>
      <c r="I31" s="108" t="s">
        <v>362</v>
      </c>
      <c r="J31" s="243" t="s">
        <v>363</v>
      </c>
      <c r="K31" s="108" t="s">
        <v>364</v>
      </c>
    </row>
    <row r="32" spans="1:11" ht="19.5">
      <c r="A32" s="244" t="s">
        <v>6</v>
      </c>
      <c r="B32" s="121" t="s">
        <v>316</v>
      </c>
      <c r="C32" s="146" t="s">
        <v>14</v>
      </c>
      <c r="D32" s="121" t="s">
        <v>220</v>
      </c>
      <c r="E32" s="103" t="s">
        <v>216</v>
      </c>
      <c r="F32" s="147">
        <v>45228</v>
      </c>
      <c r="G32" s="208">
        <v>0.625</v>
      </c>
      <c r="H32" s="107">
        <v>0.70833333333333337</v>
      </c>
      <c r="I32" s="108" t="s">
        <v>365</v>
      </c>
      <c r="J32" s="73" t="s">
        <v>366</v>
      </c>
      <c r="K32" s="108" t="s">
        <v>68</v>
      </c>
    </row>
    <row r="33" spans="1:11" ht="19.5">
      <c r="A33" s="103" t="s">
        <v>6</v>
      </c>
      <c r="B33" s="103" t="s">
        <v>279</v>
      </c>
      <c r="C33" s="146" t="s">
        <v>12</v>
      </c>
      <c r="D33" s="103" t="s">
        <v>280</v>
      </c>
      <c r="E33" s="103" t="s">
        <v>216</v>
      </c>
      <c r="F33" s="106">
        <v>45228</v>
      </c>
      <c r="G33" s="239">
        <v>0.6875</v>
      </c>
      <c r="H33" s="239">
        <v>0.77083333333333337</v>
      </c>
      <c r="I33" s="108" t="s">
        <v>367</v>
      </c>
      <c r="J33" s="73" t="s">
        <v>368</v>
      </c>
      <c r="K33" s="108" t="s">
        <v>369</v>
      </c>
    </row>
    <row r="34" spans="1:11" ht="19.5">
      <c r="A34" s="244" t="s">
        <v>6</v>
      </c>
      <c r="B34" s="121" t="s">
        <v>279</v>
      </c>
      <c r="C34" s="146" t="s">
        <v>14</v>
      </c>
      <c r="D34" s="121" t="s">
        <v>220</v>
      </c>
      <c r="E34" s="103" t="s">
        <v>216</v>
      </c>
      <c r="F34" s="147">
        <v>45228</v>
      </c>
      <c r="G34" s="107">
        <v>0.75</v>
      </c>
      <c r="H34" s="107">
        <v>0.83333333333333337</v>
      </c>
      <c r="I34" s="108" t="s">
        <v>370</v>
      </c>
      <c r="J34" s="73" t="s">
        <v>371</v>
      </c>
      <c r="K34" s="108" t="s">
        <v>68</v>
      </c>
    </row>
    <row r="35" spans="1:11" ht="19.5">
      <c r="A35" s="103" t="s">
        <v>6</v>
      </c>
      <c r="B35" s="103" t="s">
        <v>279</v>
      </c>
      <c r="C35" s="146" t="s">
        <v>12</v>
      </c>
      <c r="D35" s="103" t="s">
        <v>301</v>
      </c>
      <c r="E35" s="103" t="s">
        <v>216</v>
      </c>
      <c r="F35" s="106">
        <v>45228</v>
      </c>
      <c r="G35" s="239">
        <v>0.79166666666666663</v>
      </c>
      <c r="H35" s="239">
        <v>0.875</v>
      </c>
      <c r="I35" s="108" t="s">
        <v>372</v>
      </c>
      <c r="J35" s="73" t="s">
        <v>373</v>
      </c>
      <c r="K35" s="108" t="s">
        <v>330</v>
      </c>
    </row>
    <row r="36" spans="1:11" ht="19.5">
      <c r="A36" s="244" t="s">
        <v>6</v>
      </c>
      <c r="B36" s="121" t="s">
        <v>284</v>
      </c>
      <c r="C36" s="146" t="s">
        <v>14</v>
      </c>
      <c r="D36" s="121" t="s">
        <v>285</v>
      </c>
      <c r="E36" s="103" t="s">
        <v>212</v>
      </c>
      <c r="F36" s="147">
        <v>45234</v>
      </c>
      <c r="G36" s="107">
        <v>0.79166666666666663</v>
      </c>
      <c r="H36" s="107">
        <v>0.875</v>
      </c>
      <c r="I36" s="108" t="s">
        <v>374</v>
      </c>
      <c r="J36" s="70" t="s">
        <v>375</v>
      </c>
      <c r="K36" s="108" t="s">
        <v>68</v>
      </c>
    </row>
    <row r="37" spans="1:11" ht="19.5">
      <c r="A37" s="103" t="s">
        <v>6</v>
      </c>
      <c r="B37" s="103" t="s">
        <v>279</v>
      </c>
      <c r="C37" s="146" t="s">
        <v>12</v>
      </c>
      <c r="D37" s="103" t="s">
        <v>287</v>
      </c>
      <c r="E37" s="103" t="s">
        <v>216</v>
      </c>
      <c r="F37" s="106">
        <v>45235</v>
      </c>
      <c r="G37" s="239">
        <v>0.5</v>
      </c>
      <c r="H37" s="239">
        <v>0.58333333333333337</v>
      </c>
      <c r="I37" s="108" t="s">
        <v>376</v>
      </c>
      <c r="J37" s="34" t="s">
        <v>377</v>
      </c>
      <c r="K37" s="108" t="s">
        <v>300</v>
      </c>
    </row>
    <row r="38" spans="1:11" ht="19.5">
      <c r="A38" s="244" t="s">
        <v>6</v>
      </c>
      <c r="B38" s="121" t="s">
        <v>284</v>
      </c>
      <c r="C38" s="146" t="s">
        <v>14</v>
      </c>
      <c r="D38" s="121" t="s">
        <v>220</v>
      </c>
      <c r="E38" s="103" t="s">
        <v>216</v>
      </c>
      <c r="F38" s="147">
        <v>45235</v>
      </c>
      <c r="G38" s="107">
        <v>0.60416666666666663</v>
      </c>
      <c r="H38" s="107">
        <v>0.6875</v>
      </c>
      <c r="I38" s="108" t="s">
        <v>308</v>
      </c>
      <c r="J38" s="70" t="s">
        <v>378</v>
      </c>
      <c r="K38" s="130" t="s">
        <v>346</v>
      </c>
    </row>
    <row r="39" spans="1:11" ht="19.5">
      <c r="A39" s="103" t="s">
        <v>6</v>
      </c>
      <c r="B39" s="103" t="s">
        <v>279</v>
      </c>
      <c r="C39" s="146" t="s">
        <v>12</v>
      </c>
      <c r="D39" s="103" t="s">
        <v>287</v>
      </c>
      <c r="E39" s="103" t="s">
        <v>216</v>
      </c>
      <c r="F39" s="106">
        <v>45235</v>
      </c>
      <c r="G39" s="239">
        <v>0.625</v>
      </c>
      <c r="H39" s="239">
        <v>0.70833333333333337</v>
      </c>
      <c r="I39" s="108" t="s">
        <v>379</v>
      </c>
      <c r="J39" s="243" t="s">
        <v>380</v>
      </c>
      <c r="K39" s="108" t="s">
        <v>381</v>
      </c>
    </row>
    <row r="40" spans="1:11" ht="19.5">
      <c r="A40" s="103" t="s">
        <v>6</v>
      </c>
      <c r="B40" s="121" t="s">
        <v>279</v>
      </c>
      <c r="C40" s="146" t="s">
        <v>14</v>
      </c>
      <c r="D40" s="121" t="s">
        <v>220</v>
      </c>
      <c r="E40" s="103" t="s">
        <v>206</v>
      </c>
      <c r="F40" s="153">
        <v>45239</v>
      </c>
      <c r="G40" s="107">
        <v>0.79166666666666663</v>
      </c>
      <c r="H40" s="107">
        <v>0.875</v>
      </c>
      <c r="I40" s="108" t="s">
        <v>382</v>
      </c>
      <c r="J40" s="35" t="s">
        <v>383</v>
      </c>
      <c r="K40" s="35" t="s">
        <v>384</v>
      </c>
    </row>
    <row r="41" spans="1:11" ht="19.5">
      <c r="A41" s="103" t="s">
        <v>6</v>
      </c>
      <c r="B41" s="103" t="s">
        <v>279</v>
      </c>
      <c r="C41" s="146" t="s">
        <v>12</v>
      </c>
      <c r="D41" s="103" t="s">
        <v>287</v>
      </c>
      <c r="E41" s="103" t="s">
        <v>206</v>
      </c>
      <c r="F41" s="106">
        <v>45239</v>
      </c>
      <c r="G41" s="239">
        <v>0.83333333333333337</v>
      </c>
      <c r="H41" s="239">
        <v>0.91666666666666663</v>
      </c>
      <c r="I41" s="108" t="s">
        <v>385</v>
      </c>
      <c r="J41" s="34" t="s">
        <v>386</v>
      </c>
      <c r="K41" s="108" t="s">
        <v>381</v>
      </c>
    </row>
    <row r="42" spans="1:11" ht="19.5">
      <c r="A42" s="103" t="s">
        <v>6</v>
      </c>
      <c r="B42" s="121" t="s">
        <v>284</v>
      </c>
      <c r="C42" s="146" t="s">
        <v>14</v>
      </c>
      <c r="D42" s="206" t="s">
        <v>285</v>
      </c>
      <c r="E42" s="122" t="s">
        <v>212</v>
      </c>
      <c r="F42" s="153">
        <v>45241</v>
      </c>
      <c r="G42" s="107">
        <v>0.54166666666666663</v>
      </c>
      <c r="H42" s="107">
        <v>0.625</v>
      </c>
      <c r="I42" s="108" t="s">
        <v>314</v>
      </c>
      <c r="J42" s="108" t="s">
        <v>387</v>
      </c>
      <c r="K42" s="108" t="s">
        <v>68</v>
      </c>
    </row>
    <row r="43" spans="1:11" ht="19.5">
      <c r="A43" s="103" t="s">
        <v>6</v>
      </c>
      <c r="B43" s="121" t="s">
        <v>316</v>
      </c>
      <c r="C43" s="146" t="s">
        <v>14</v>
      </c>
      <c r="D43" s="206" t="s">
        <v>285</v>
      </c>
      <c r="E43" s="122" t="s">
        <v>212</v>
      </c>
      <c r="F43" s="153">
        <v>45241</v>
      </c>
      <c r="G43" s="107">
        <v>0.66666666666666663</v>
      </c>
      <c r="H43" s="107">
        <v>0.75</v>
      </c>
      <c r="I43" s="108" t="s">
        <v>388</v>
      </c>
      <c r="J43" s="66" t="s">
        <v>389</v>
      </c>
      <c r="K43" s="66" t="s">
        <v>390</v>
      </c>
    </row>
    <row r="44" spans="1:11" ht="19.5">
      <c r="A44" s="103" t="s">
        <v>6</v>
      </c>
      <c r="B44" s="121" t="s">
        <v>316</v>
      </c>
      <c r="C44" s="146" t="s">
        <v>14</v>
      </c>
      <c r="D44" s="206" t="s">
        <v>285</v>
      </c>
      <c r="E44" s="122" t="s">
        <v>212</v>
      </c>
      <c r="F44" s="153">
        <v>45241</v>
      </c>
      <c r="G44" s="239">
        <v>0.79166666666666663</v>
      </c>
      <c r="H44" s="107">
        <v>0.875</v>
      </c>
      <c r="I44" s="108" t="s">
        <v>391</v>
      </c>
      <c r="J44" s="66" t="s">
        <v>392</v>
      </c>
      <c r="K44" s="66" t="s">
        <v>393</v>
      </c>
    </row>
    <row r="45" spans="1:11" ht="19.5">
      <c r="A45" s="103" t="s">
        <v>6</v>
      </c>
      <c r="B45" s="206" t="s">
        <v>316</v>
      </c>
      <c r="C45" s="146" t="s">
        <v>14</v>
      </c>
      <c r="D45" s="206" t="s">
        <v>285</v>
      </c>
      <c r="E45" s="122" t="s">
        <v>216</v>
      </c>
      <c r="F45" s="153">
        <v>45242</v>
      </c>
      <c r="G45" s="107">
        <v>0.5</v>
      </c>
      <c r="H45" s="107">
        <v>0.58333333333333337</v>
      </c>
      <c r="I45" s="108" t="s">
        <v>394</v>
      </c>
      <c r="J45" s="66" t="s">
        <v>395</v>
      </c>
      <c r="K45" s="66" t="s">
        <v>393</v>
      </c>
    </row>
    <row r="46" spans="1:11" ht="19.5">
      <c r="A46" s="103" t="s">
        <v>6</v>
      </c>
      <c r="B46" s="206" t="s">
        <v>316</v>
      </c>
      <c r="C46" s="146" t="s">
        <v>14</v>
      </c>
      <c r="D46" s="121" t="s">
        <v>285</v>
      </c>
      <c r="E46" s="103" t="s">
        <v>216</v>
      </c>
      <c r="F46" s="147">
        <v>45242</v>
      </c>
      <c r="G46" s="107">
        <v>0.625</v>
      </c>
      <c r="H46" s="107">
        <v>0.70833333333333337</v>
      </c>
      <c r="I46" s="108" t="s">
        <v>396</v>
      </c>
      <c r="J46" s="66" t="s">
        <v>397</v>
      </c>
      <c r="K46" s="66" t="s">
        <v>393</v>
      </c>
    </row>
    <row r="47" spans="1:11" ht="19.5">
      <c r="A47" s="245"/>
      <c r="B47" s="245"/>
      <c r="C47" s="246"/>
      <c r="D47" s="245"/>
      <c r="E47" s="120"/>
      <c r="F47" s="112"/>
      <c r="G47" s="113"/>
      <c r="H47" s="113"/>
      <c r="I47" s="115"/>
      <c r="J47" s="247"/>
      <c r="K47" s="115"/>
    </row>
    <row r="48" spans="1:11" ht="19.5">
      <c r="A48" s="244" t="s">
        <v>226</v>
      </c>
      <c r="B48" s="206" t="s">
        <v>279</v>
      </c>
      <c r="C48" s="146" t="s">
        <v>14</v>
      </c>
      <c r="D48" s="121" t="s">
        <v>220</v>
      </c>
      <c r="E48" s="103" t="s">
        <v>206</v>
      </c>
      <c r="F48" s="147">
        <v>45246</v>
      </c>
      <c r="G48" s="107">
        <v>0.79166666666666663</v>
      </c>
      <c r="H48" s="107">
        <v>0.875</v>
      </c>
      <c r="I48" s="108" t="s">
        <v>398</v>
      </c>
      <c r="J48" s="73" t="s">
        <v>399</v>
      </c>
      <c r="K48" s="108" t="s">
        <v>400</v>
      </c>
    </row>
    <row r="49" spans="1:11" ht="19.5">
      <c r="A49" s="103" t="s">
        <v>226</v>
      </c>
      <c r="B49" s="103" t="s">
        <v>279</v>
      </c>
      <c r="C49" s="146" t="s">
        <v>12</v>
      </c>
      <c r="D49" s="103" t="s">
        <v>287</v>
      </c>
      <c r="E49" s="103" t="s">
        <v>206</v>
      </c>
      <c r="F49" s="106">
        <v>45246</v>
      </c>
      <c r="G49" s="239">
        <v>0.79166666666666663</v>
      </c>
      <c r="H49" s="239">
        <v>0.875</v>
      </c>
      <c r="I49" s="108" t="s">
        <v>401</v>
      </c>
      <c r="J49" s="34" t="s">
        <v>402</v>
      </c>
      <c r="K49" s="108" t="s">
        <v>403</v>
      </c>
    </row>
    <row r="50" spans="1:11" ht="19.5">
      <c r="A50" s="244" t="s">
        <v>226</v>
      </c>
      <c r="B50" s="121" t="s">
        <v>284</v>
      </c>
      <c r="C50" s="146" t="s">
        <v>14</v>
      </c>
      <c r="D50" s="121" t="s">
        <v>285</v>
      </c>
      <c r="E50" s="103" t="s">
        <v>216</v>
      </c>
      <c r="F50" s="147">
        <v>45249</v>
      </c>
      <c r="G50" s="107">
        <v>0.45833333333333331</v>
      </c>
      <c r="H50" s="107">
        <v>0.54166666666666663</v>
      </c>
      <c r="I50" s="108" t="s">
        <v>82</v>
      </c>
      <c r="J50" s="108" t="s">
        <v>286</v>
      </c>
      <c r="K50" s="108" t="s">
        <v>68</v>
      </c>
    </row>
    <row r="51" spans="1:11" ht="19.5">
      <c r="A51" s="103" t="s">
        <v>226</v>
      </c>
      <c r="B51" s="103" t="s">
        <v>316</v>
      </c>
      <c r="C51" s="146" t="s">
        <v>12</v>
      </c>
      <c r="D51" s="103" t="s">
        <v>287</v>
      </c>
      <c r="E51" s="103" t="s">
        <v>216</v>
      </c>
      <c r="F51" s="106">
        <v>45249</v>
      </c>
      <c r="G51" s="239">
        <v>0.5</v>
      </c>
      <c r="H51" s="239">
        <v>0.58333333333333337</v>
      </c>
      <c r="I51" s="108" t="s">
        <v>404</v>
      </c>
      <c r="J51" s="66" t="s">
        <v>405</v>
      </c>
      <c r="K51" s="108" t="s">
        <v>406</v>
      </c>
    </row>
    <row r="52" spans="1:11" ht="19.5">
      <c r="A52" s="244" t="s">
        <v>226</v>
      </c>
      <c r="B52" s="206" t="s">
        <v>284</v>
      </c>
      <c r="C52" s="146" t="s">
        <v>14</v>
      </c>
      <c r="D52" s="206" t="s">
        <v>285</v>
      </c>
      <c r="E52" s="103" t="s">
        <v>216</v>
      </c>
      <c r="F52" s="147">
        <v>45249</v>
      </c>
      <c r="G52" s="107">
        <v>0.58333333333333337</v>
      </c>
      <c r="H52" s="107">
        <v>0.66666666666666663</v>
      </c>
      <c r="I52" s="108" t="s">
        <v>291</v>
      </c>
      <c r="J52" s="108" t="s">
        <v>292</v>
      </c>
      <c r="K52" s="108" t="s">
        <v>68</v>
      </c>
    </row>
    <row r="53" spans="1:11" ht="19.5">
      <c r="A53" s="103" t="s">
        <v>226</v>
      </c>
      <c r="B53" s="103" t="s">
        <v>316</v>
      </c>
      <c r="C53" s="146" t="s">
        <v>12</v>
      </c>
      <c r="D53" s="103" t="s">
        <v>287</v>
      </c>
      <c r="E53" s="103" t="s">
        <v>216</v>
      </c>
      <c r="F53" s="106">
        <v>45249</v>
      </c>
      <c r="G53" s="239">
        <v>0.625</v>
      </c>
      <c r="H53" s="239">
        <v>0.70833333333333337</v>
      </c>
      <c r="I53" s="108" t="s">
        <v>407</v>
      </c>
      <c r="J53" s="66" t="s">
        <v>408</v>
      </c>
      <c r="K53" s="108" t="s">
        <v>409</v>
      </c>
    </row>
    <row r="54" spans="1:11" ht="19.5">
      <c r="A54" s="103" t="s">
        <v>226</v>
      </c>
      <c r="B54" s="103" t="s">
        <v>279</v>
      </c>
      <c r="C54" s="146" t="s">
        <v>12</v>
      </c>
      <c r="D54" s="103" t="s">
        <v>287</v>
      </c>
      <c r="E54" s="103" t="s">
        <v>216</v>
      </c>
      <c r="F54" s="106">
        <v>45249</v>
      </c>
      <c r="G54" s="239">
        <v>0.75</v>
      </c>
      <c r="H54" s="239">
        <v>0.83333333333333337</v>
      </c>
      <c r="I54" s="108" t="s">
        <v>410</v>
      </c>
      <c r="J54" s="243" t="s">
        <v>411</v>
      </c>
      <c r="K54" s="108" t="s">
        <v>412</v>
      </c>
    </row>
    <row r="55" spans="1:11" ht="19.5">
      <c r="A55" s="245"/>
      <c r="B55" s="245"/>
      <c r="C55" s="246"/>
      <c r="D55" s="268" t="s">
        <v>413</v>
      </c>
      <c r="E55" s="252"/>
      <c r="F55" s="252"/>
      <c r="G55" s="252"/>
      <c r="H55" s="253"/>
      <c r="I55" s="115"/>
      <c r="J55" s="247"/>
      <c r="K55" s="115"/>
    </row>
    <row r="56" spans="1:11" ht="19.5">
      <c r="A56" s="244" t="s">
        <v>226</v>
      </c>
      <c r="B56" s="206" t="s">
        <v>284</v>
      </c>
      <c r="C56" s="146" t="s">
        <v>14</v>
      </c>
      <c r="D56" s="206" t="s">
        <v>285</v>
      </c>
      <c r="E56" s="103" t="s">
        <v>212</v>
      </c>
      <c r="F56" s="147">
        <v>45255</v>
      </c>
      <c r="G56" s="107">
        <v>0.45833333333333331</v>
      </c>
      <c r="H56" s="107">
        <v>0.54166666666666663</v>
      </c>
      <c r="I56" s="108" t="s">
        <v>323</v>
      </c>
      <c r="J56" s="130" t="s">
        <v>324</v>
      </c>
      <c r="K56" s="108" t="s">
        <v>68</v>
      </c>
    </row>
    <row r="57" spans="1:11" ht="19.5">
      <c r="A57" s="244" t="s">
        <v>226</v>
      </c>
      <c r="B57" s="121" t="s">
        <v>284</v>
      </c>
      <c r="C57" s="146" t="s">
        <v>14</v>
      </c>
      <c r="D57" s="121" t="s">
        <v>285</v>
      </c>
      <c r="E57" s="103" t="s">
        <v>212</v>
      </c>
      <c r="F57" s="147">
        <v>45255</v>
      </c>
      <c r="G57" s="107">
        <v>0.58333333333333337</v>
      </c>
      <c r="H57" s="107">
        <v>0.66666666666666663</v>
      </c>
      <c r="I57" s="108" t="s">
        <v>321</v>
      </c>
      <c r="J57" s="73" t="s">
        <v>322</v>
      </c>
      <c r="K57" s="108" t="s">
        <v>68</v>
      </c>
    </row>
    <row r="58" spans="1:11" ht="19.5">
      <c r="A58" s="244" t="s">
        <v>226</v>
      </c>
      <c r="B58" s="121" t="s">
        <v>316</v>
      </c>
      <c r="C58" s="146" t="s">
        <v>14</v>
      </c>
      <c r="D58" s="121" t="s">
        <v>285</v>
      </c>
      <c r="E58" s="103" t="s">
        <v>216</v>
      </c>
      <c r="F58" s="147">
        <v>45256</v>
      </c>
      <c r="G58" s="107">
        <v>0.5</v>
      </c>
      <c r="H58" s="107">
        <v>0.58333333333333337</v>
      </c>
      <c r="I58" s="108" t="s">
        <v>414</v>
      </c>
      <c r="J58" s="66" t="s">
        <v>415</v>
      </c>
      <c r="K58" s="66" t="s">
        <v>393</v>
      </c>
    </row>
    <row r="59" spans="1:11" ht="19.5">
      <c r="A59" s="103" t="s">
        <v>226</v>
      </c>
      <c r="B59" s="103" t="s">
        <v>316</v>
      </c>
      <c r="C59" s="146" t="s">
        <v>14</v>
      </c>
      <c r="D59" s="103" t="s">
        <v>285</v>
      </c>
      <c r="E59" s="103" t="s">
        <v>216</v>
      </c>
      <c r="F59" s="147">
        <v>45256</v>
      </c>
      <c r="G59" s="107">
        <v>0.625</v>
      </c>
      <c r="H59" s="107">
        <v>0.70833333333333337</v>
      </c>
      <c r="I59" s="108" t="s">
        <v>416</v>
      </c>
      <c r="J59" s="66" t="s">
        <v>417</v>
      </c>
      <c r="K59" s="66" t="s">
        <v>393</v>
      </c>
    </row>
    <row r="60" spans="1:11" ht="19.5">
      <c r="A60" s="245"/>
      <c r="B60" s="245"/>
      <c r="C60" s="246"/>
      <c r="D60" s="245"/>
      <c r="E60" s="120"/>
      <c r="F60" s="112"/>
      <c r="G60" s="113"/>
      <c r="H60" s="113"/>
      <c r="I60" s="115"/>
      <c r="J60" s="247"/>
      <c r="K60" s="115"/>
    </row>
    <row r="61" spans="1:11" ht="19.5">
      <c r="A61" s="103" t="s">
        <v>226</v>
      </c>
      <c r="B61" s="103" t="s">
        <v>279</v>
      </c>
      <c r="C61" s="146" t="s">
        <v>12</v>
      </c>
      <c r="D61" s="103" t="s">
        <v>220</v>
      </c>
      <c r="E61" s="103" t="s">
        <v>216</v>
      </c>
      <c r="F61" s="106">
        <v>45270</v>
      </c>
      <c r="G61" s="239">
        <v>0.5</v>
      </c>
      <c r="H61" s="239">
        <v>0.58333333333333337</v>
      </c>
      <c r="I61" s="108" t="s">
        <v>418</v>
      </c>
      <c r="J61" s="34" t="s">
        <v>419</v>
      </c>
      <c r="K61" s="108" t="s">
        <v>420</v>
      </c>
    </row>
    <row r="62" spans="1:11" ht="19.5">
      <c r="A62" s="245"/>
      <c r="B62" s="245"/>
      <c r="C62" s="246"/>
      <c r="D62" s="245"/>
      <c r="E62" s="120"/>
      <c r="F62" s="112"/>
      <c r="G62" s="113"/>
      <c r="H62" s="113"/>
      <c r="I62" s="115"/>
      <c r="J62" s="247"/>
      <c r="K62" s="115"/>
    </row>
    <row r="63" spans="1:11" ht="19.5">
      <c r="A63" s="103" t="s">
        <v>226</v>
      </c>
      <c r="B63" s="103" t="s">
        <v>316</v>
      </c>
      <c r="C63" s="146" t="s">
        <v>12</v>
      </c>
      <c r="D63" s="103" t="s">
        <v>287</v>
      </c>
      <c r="E63" s="103" t="s">
        <v>206</v>
      </c>
      <c r="F63" s="106">
        <v>45274</v>
      </c>
      <c r="G63" s="239">
        <v>0.83333333333333337</v>
      </c>
      <c r="H63" s="239">
        <v>0.91666666666666663</v>
      </c>
      <c r="I63" s="108" t="s">
        <v>421</v>
      </c>
      <c r="J63" s="108" t="s">
        <v>422</v>
      </c>
      <c r="K63" s="108" t="s">
        <v>423</v>
      </c>
    </row>
    <row r="64" spans="1:11" ht="19.5">
      <c r="A64" s="101"/>
      <c r="B64" s="248"/>
      <c r="C64" s="249"/>
      <c r="D64" s="249"/>
      <c r="E64" s="249"/>
      <c r="F64" s="250"/>
    </row>
    <row r="65" spans="1:6" ht="19.5">
      <c r="A65" s="101"/>
      <c r="B65" s="248"/>
      <c r="C65" s="249"/>
      <c r="D65" s="249"/>
      <c r="E65" s="249"/>
      <c r="F65" s="250"/>
    </row>
    <row r="66" spans="1:6" ht="19.5">
      <c r="A66" s="101"/>
      <c r="B66" s="248"/>
      <c r="C66" s="249"/>
      <c r="D66" s="249"/>
      <c r="E66" s="249"/>
      <c r="F66" s="250"/>
    </row>
    <row r="67" spans="1:6" ht="19.5">
      <c r="A67" s="101"/>
      <c r="B67" s="248"/>
      <c r="C67" s="249"/>
      <c r="D67" s="249"/>
      <c r="E67" s="249"/>
      <c r="F67" s="250"/>
    </row>
    <row r="68" spans="1:6" ht="19.5">
      <c r="A68" s="101"/>
      <c r="B68" s="248"/>
      <c r="C68" s="249"/>
      <c r="D68" s="249"/>
      <c r="E68" s="249"/>
      <c r="F68" s="250"/>
    </row>
    <row r="69" spans="1:6" ht="19.5">
      <c r="A69" s="101"/>
      <c r="B69" s="248"/>
      <c r="C69" s="249"/>
      <c r="D69" s="249"/>
      <c r="E69" s="249"/>
      <c r="F69" s="250"/>
    </row>
    <row r="70" spans="1:6" ht="19.5">
      <c r="A70" s="101"/>
      <c r="B70" s="248"/>
      <c r="C70" s="249"/>
      <c r="D70" s="249"/>
      <c r="E70" s="249"/>
      <c r="F70" s="250"/>
    </row>
    <row r="71" spans="1:6" ht="19.5">
      <c r="A71" s="101"/>
      <c r="B71" s="248"/>
      <c r="C71" s="249"/>
      <c r="D71" s="249"/>
      <c r="E71" s="249"/>
      <c r="F71" s="250"/>
    </row>
    <row r="72" spans="1:6" ht="19.5">
      <c r="A72" s="101"/>
      <c r="B72" s="248"/>
      <c r="C72" s="249"/>
      <c r="D72" s="249"/>
      <c r="E72" s="249"/>
      <c r="F72" s="250"/>
    </row>
    <row r="73" spans="1:6" ht="19.5">
      <c r="A73" s="101"/>
      <c r="B73" s="248"/>
      <c r="C73" s="249"/>
      <c r="D73" s="249"/>
      <c r="E73" s="249"/>
      <c r="F73" s="250"/>
    </row>
    <row r="74" spans="1:6" ht="19.5">
      <c r="A74" s="101"/>
      <c r="B74" s="248"/>
      <c r="C74" s="249"/>
      <c r="D74" s="249"/>
      <c r="E74" s="249"/>
      <c r="F74" s="250"/>
    </row>
    <row r="75" spans="1:6" ht="19.5">
      <c r="A75" s="101"/>
      <c r="B75" s="248"/>
      <c r="C75" s="249"/>
      <c r="D75" s="249"/>
      <c r="E75" s="249"/>
      <c r="F75" s="250"/>
    </row>
    <row r="76" spans="1:6" ht="19.5">
      <c r="A76" s="101"/>
      <c r="B76" s="248"/>
      <c r="C76" s="249"/>
      <c r="D76" s="249"/>
      <c r="E76" s="249"/>
      <c r="F76" s="250"/>
    </row>
    <row r="77" spans="1:6" ht="19.5">
      <c r="A77" s="101"/>
      <c r="B77" s="248"/>
      <c r="C77" s="249"/>
      <c r="D77" s="249"/>
      <c r="E77" s="249"/>
      <c r="F77" s="250"/>
    </row>
    <row r="78" spans="1:6" ht="19.5">
      <c r="A78" s="101"/>
      <c r="B78" s="248"/>
      <c r="C78" s="249"/>
      <c r="D78" s="249"/>
      <c r="E78" s="249"/>
      <c r="F78" s="250"/>
    </row>
    <row r="79" spans="1:6" ht="19.5">
      <c r="A79" s="101"/>
      <c r="B79" s="248"/>
      <c r="C79" s="249"/>
      <c r="D79" s="249"/>
      <c r="E79" s="249"/>
      <c r="F79" s="250"/>
    </row>
    <row r="80" spans="1:6" ht="19.5">
      <c r="A80" s="101"/>
      <c r="B80" s="248"/>
      <c r="C80" s="249"/>
      <c r="D80" s="249"/>
      <c r="E80" s="249"/>
      <c r="F80" s="250"/>
    </row>
    <row r="81" spans="1:6" ht="19.5">
      <c r="A81" s="101"/>
      <c r="B81" s="248"/>
      <c r="C81" s="249"/>
      <c r="D81" s="249"/>
      <c r="E81" s="249"/>
      <c r="F81" s="250"/>
    </row>
    <row r="82" spans="1:6" ht="19.5">
      <c r="A82" s="101"/>
      <c r="B82" s="248"/>
      <c r="C82" s="249"/>
      <c r="D82" s="249"/>
      <c r="E82" s="249"/>
      <c r="F82" s="250"/>
    </row>
    <row r="83" spans="1:6" ht="19.5">
      <c r="A83" s="101"/>
      <c r="B83" s="248"/>
      <c r="C83" s="249"/>
      <c r="D83" s="249"/>
      <c r="E83" s="249"/>
      <c r="F83" s="250"/>
    </row>
    <row r="84" spans="1:6" ht="19.5">
      <c r="A84" s="101"/>
      <c r="B84" s="248"/>
      <c r="C84" s="249"/>
      <c r="D84" s="249"/>
      <c r="E84" s="249"/>
      <c r="F84" s="250"/>
    </row>
    <row r="85" spans="1:6" ht="19.5">
      <c r="A85" s="101"/>
      <c r="B85" s="248"/>
      <c r="C85" s="249"/>
      <c r="D85" s="249"/>
      <c r="E85" s="249"/>
      <c r="F85" s="250"/>
    </row>
    <row r="86" spans="1:6" ht="19.5">
      <c r="A86" s="101"/>
      <c r="B86" s="248"/>
      <c r="C86" s="249"/>
      <c r="D86" s="249"/>
      <c r="E86" s="249"/>
      <c r="F86" s="250"/>
    </row>
    <row r="87" spans="1:6" ht="19.5">
      <c r="A87" s="101"/>
      <c r="B87" s="248"/>
      <c r="C87" s="249"/>
      <c r="D87" s="249"/>
      <c r="E87" s="249"/>
      <c r="F87" s="250"/>
    </row>
    <row r="88" spans="1:6" ht="19.5">
      <c r="A88" s="101"/>
      <c r="B88" s="248"/>
      <c r="C88" s="249"/>
      <c r="D88" s="249"/>
      <c r="E88" s="249"/>
      <c r="F88" s="250"/>
    </row>
    <row r="89" spans="1:6" ht="19.5">
      <c r="A89" s="101"/>
      <c r="B89" s="248"/>
      <c r="C89" s="249"/>
      <c r="D89" s="249"/>
      <c r="E89" s="249"/>
      <c r="F89" s="250"/>
    </row>
    <row r="90" spans="1:6" ht="19.5">
      <c r="A90" s="101"/>
      <c r="B90" s="248"/>
      <c r="C90" s="249"/>
      <c r="D90" s="249"/>
      <c r="E90" s="249"/>
      <c r="F90" s="250"/>
    </row>
    <row r="91" spans="1:6" ht="19.5">
      <c r="A91" s="101"/>
      <c r="B91" s="248"/>
      <c r="C91" s="249"/>
      <c r="D91" s="249"/>
      <c r="E91" s="249"/>
      <c r="F91" s="250"/>
    </row>
    <row r="92" spans="1:6" ht="19.5">
      <c r="A92" s="101"/>
      <c r="B92" s="248"/>
      <c r="C92" s="249"/>
      <c r="D92" s="249"/>
      <c r="E92" s="249"/>
      <c r="F92" s="250"/>
    </row>
    <row r="93" spans="1:6" ht="19.5">
      <c r="A93" s="101"/>
      <c r="B93" s="248"/>
      <c r="C93" s="249"/>
      <c r="D93" s="249"/>
      <c r="E93" s="249"/>
      <c r="F93" s="250"/>
    </row>
    <row r="94" spans="1:6" ht="19.5">
      <c r="A94" s="101"/>
      <c r="B94" s="248"/>
      <c r="C94" s="249"/>
      <c r="D94" s="249"/>
      <c r="E94" s="249"/>
      <c r="F94" s="250"/>
    </row>
    <row r="95" spans="1:6" ht="19.5">
      <c r="A95" s="101"/>
      <c r="B95" s="248"/>
      <c r="C95" s="249"/>
      <c r="D95" s="249"/>
      <c r="E95" s="249"/>
      <c r="F95" s="250"/>
    </row>
    <row r="96" spans="1:6" ht="19.5">
      <c r="A96" s="101"/>
      <c r="B96" s="248"/>
      <c r="C96" s="249"/>
      <c r="D96" s="249"/>
      <c r="E96" s="249"/>
      <c r="F96" s="250"/>
    </row>
    <row r="97" spans="1:6" ht="19.5">
      <c r="A97" s="101"/>
      <c r="B97" s="248"/>
      <c r="C97" s="249"/>
      <c r="D97" s="249"/>
      <c r="E97" s="249"/>
      <c r="F97" s="250"/>
    </row>
    <row r="98" spans="1:6" ht="19.5">
      <c r="A98" s="101"/>
      <c r="B98" s="248"/>
      <c r="C98" s="249"/>
      <c r="D98" s="249"/>
      <c r="E98" s="249"/>
      <c r="F98" s="250"/>
    </row>
    <row r="99" spans="1:6" ht="19.5">
      <c r="A99" s="101"/>
      <c r="B99" s="248"/>
      <c r="C99" s="249"/>
      <c r="D99" s="249"/>
      <c r="E99" s="249"/>
      <c r="F99" s="250"/>
    </row>
    <row r="100" spans="1:6" ht="19.5">
      <c r="A100" s="101"/>
      <c r="B100" s="248"/>
      <c r="C100" s="249"/>
      <c r="D100" s="249"/>
      <c r="E100" s="249"/>
      <c r="F100" s="250"/>
    </row>
    <row r="101" spans="1:6" ht="19.5">
      <c r="A101" s="101"/>
      <c r="B101" s="248"/>
      <c r="C101" s="249"/>
      <c r="D101" s="249"/>
      <c r="E101" s="249"/>
      <c r="F101" s="250"/>
    </row>
    <row r="102" spans="1:6" ht="19.5">
      <c r="A102" s="101"/>
      <c r="B102" s="248"/>
      <c r="C102" s="249"/>
      <c r="D102" s="249"/>
      <c r="E102" s="249"/>
      <c r="F102" s="250"/>
    </row>
    <row r="103" spans="1:6" ht="19.5">
      <c r="A103" s="101"/>
      <c r="B103" s="248"/>
      <c r="C103" s="249"/>
      <c r="D103" s="249"/>
      <c r="E103" s="249"/>
      <c r="F103" s="250"/>
    </row>
    <row r="104" spans="1:6" ht="19.5">
      <c r="A104" s="101"/>
      <c r="B104" s="248"/>
      <c r="C104" s="249"/>
      <c r="D104" s="249"/>
      <c r="E104" s="249"/>
      <c r="F104" s="250"/>
    </row>
    <row r="105" spans="1:6" ht="19.5">
      <c r="A105" s="101"/>
      <c r="B105" s="248"/>
      <c r="C105" s="249"/>
      <c r="D105" s="249"/>
      <c r="E105" s="249"/>
      <c r="F105" s="250"/>
    </row>
    <row r="106" spans="1:6" ht="19.5">
      <c r="A106" s="101"/>
      <c r="B106" s="248"/>
      <c r="C106" s="249"/>
      <c r="D106" s="249"/>
      <c r="E106" s="249"/>
      <c r="F106" s="250"/>
    </row>
    <row r="107" spans="1:6" ht="19.5">
      <c r="A107" s="101"/>
      <c r="B107" s="248"/>
      <c r="C107" s="249"/>
      <c r="D107" s="249"/>
      <c r="E107" s="249"/>
      <c r="F107" s="250"/>
    </row>
    <row r="108" spans="1:6" ht="19.5">
      <c r="A108" s="101"/>
      <c r="B108" s="248"/>
      <c r="C108" s="249"/>
      <c r="D108" s="249"/>
      <c r="E108" s="249"/>
      <c r="F108" s="250"/>
    </row>
    <row r="109" spans="1:6" ht="19.5">
      <c r="A109" s="101"/>
      <c r="B109" s="248"/>
      <c r="C109" s="249"/>
      <c r="D109" s="249"/>
      <c r="E109" s="249"/>
      <c r="F109" s="250"/>
    </row>
    <row r="110" spans="1:6" ht="19.5">
      <c r="A110" s="101"/>
      <c r="B110" s="248"/>
      <c r="C110" s="249"/>
      <c r="D110" s="249"/>
      <c r="E110" s="249"/>
      <c r="F110" s="250"/>
    </row>
    <row r="111" spans="1:6" ht="19.5">
      <c r="A111" s="101"/>
      <c r="B111" s="248"/>
      <c r="C111" s="249"/>
      <c r="D111" s="249"/>
      <c r="E111" s="249"/>
      <c r="F111" s="250"/>
    </row>
    <row r="112" spans="1:6" ht="19.5">
      <c r="A112" s="101"/>
      <c r="B112" s="248"/>
      <c r="C112" s="249"/>
      <c r="D112" s="249"/>
      <c r="E112" s="249"/>
      <c r="F112" s="250"/>
    </row>
    <row r="113" spans="1:6" ht="19.5">
      <c r="A113" s="101"/>
      <c r="B113" s="248"/>
      <c r="C113" s="249"/>
      <c r="D113" s="249"/>
      <c r="E113" s="249"/>
      <c r="F113" s="250"/>
    </row>
    <row r="114" spans="1:6" ht="19.5">
      <c r="A114" s="101"/>
      <c r="B114" s="248"/>
      <c r="C114" s="249"/>
      <c r="D114" s="249"/>
      <c r="E114" s="249"/>
      <c r="F114" s="250"/>
    </row>
    <row r="115" spans="1:6" ht="19.5">
      <c r="A115" s="101"/>
      <c r="B115" s="248"/>
      <c r="C115" s="249"/>
      <c r="D115" s="249"/>
      <c r="E115" s="249"/>
      <c r="F115" s="250"/>
    </row>
    <row r="116" spans="1:6" ht="19.5">
      <c r="A116" s="101"/>
      <c r="B116" s="248"/>
      <c r="C116" s="249"/>
      <c r="D116" s="249"/>
      <c r="E116" s="249"/>
      <c r="F116" s="250"/>
    </row>
    <row r="117" spans="1:6" ht="19.5">
      <c r="A117" s="101"/>
      <c r="B117" s="248"/>
      <c r="C117" s="249"/>
      <c r="D117" s="249"/>
      <c r="E117" s="249"/>
      <c r="F117" s="250"/>
    </row>
    <row r="118" spans="1:6" ht="19.5">
      <c r="A118" s="101"/>
      <c r="B118" s="248"/>
      <c r="C118" s="249"/>
      <c r="D118" s="249"/>
      <c r="E118" s="249"/>
      <c r="F118" s="250"/>
    </row>
    <row r="119" spans="1:6" ht="19.5">
      <c r="A119" s="101"/>
      <c r="B119" s="248"/>
      <c r="C119" s="249"/>
      <c r="D119" s="249"/>
      <c r="E119" s="249"/>
      <c r="F119" s="250"/>
    </row>
    <row r="120" spans="1:6" ht="19.5">
      <c r="A120" s="101"/>
      <c r="B120" s="248"/>
      <c r="C120" s="249"/>
      <c r="D120" s="249"/>
      <c r="E120" s="249"/>
      <c r="F120" s="250"/>
    </row>
    <row r="121" spans="1:6" ht="19.5">
      <c r="A121" s="101"/>
      <c r="B121" s="248"/>
      <c r="C121" s="249"/>
      <c r="D121" s="249"/>
      <c r="E121" s="249"/>
      <c r="F121" s="250"/>
    </row>
    <row r="122" spans="1:6" ht="19.5">
      <c r="A122" s="101"/>
      <c r="B122" s="248"/>
      <c r="C122" s="249"/>
      <c r="D122" s="249"/>
      <c r="E122" s="249"/>
      <c r="F122" s="250"/>
    </row>
    <row r="123" spans="1:6" ht="19.5">
      <c r="A123" s="101"/>
      <c r="B123" s="248"/>
      <c r="C123" s="249"/>
      <c r="D123" s="249"/>
      <c r="E123" s="249"/>
      <c r="F123" s="250"/>
    </row>
    <row r="124" spans="1:6" ht="19.5">
      <c r="A124" s="101"/>
      <c r="B124" s="248"/>
      <c r="C124" s="249"/>
      <c r="D124" s="249"/>
      <c r="E124" s="249"/>
      <c r="F124" s="250"/>
    </row>
    <row r="125" spans="1:6" ht="19.5">
      <c r="A125" s="101"/>
      <c r="B125" s="248"/>
      <c r="C125" s="249"/>
      <c r="D125" s="249"/>
      <c r="E125" s="249"/>
      <c r="F125" s="250"/>
    </row>
    <row r="126" spans="1:6" ht="19.5">
      <c r="A126" s="101"/>
      <c r="B126" s="248"/>
      <c r="C126" s="249"/>
      <c r="D126" s="249"/>
      <c r="E126" s="249"/>
      <c r="F126" s="250"/>
    </row>
    <row r="127" spans="1:6" ht="19.5">
      <c r="A127" s="101"/>
      <c r="B127" s="248"/>
      <c r="C127" s="249"/>
      <c r="D127" s="249"/>
      <c r="E127" s="249"/>
      <c r="F127" s="250"/>
    </row>
    <row r="128" spans="1:6" ht="19.5">
      <c r="A128" s="101"/>
      <c r="B128" s="248"/>
      <c r="C128" s="249"/>
      <c r="D128" s="249"/>
      <c r="E128" s="249"/>
      <c r="F128" s="250"/>
    </row>
    <row r="129" spans="1:6" ht="19.5">
      <c r="A129" s="101"/>
      <c r="B129" s="248"/>
      <c r="C129" s="249"/>
      <c r="D129" s="249"/>
      <c r="E129" s="249"/>
      <c r="F129" s="250"/>
    </row>
    <row r="130" spans="1:6" ht="19.5">
      <c r="A130" s="101"/>
      <c r="B130" s="248"/>
      <c r="C130" s="249"/>
      <c r="D130" s="249"/>
      <c r="E130" s="249"/>
      <c r="F130" s="250"/>
    </row>
    <row r="131" spans="1:6" ht="19.5">
      <c r="A131" s="101"/>
      <c r="B131" s="248"/>
      <c r="C131" s="249"/>
      <c r="D131" s="249"/>
      <c r="E131" s="249"/>
      <c r="F131" s="250"/>
    </row>
    <row r="132" spans="1:6" ht="19.5">
      <c r="A132" s="101"/>
      <c r="B132" s="248"/>
      <c r="C132" s="249"/>
      <c r="D132" s="249"/>
      <c r="E132" s="249"/>
      <c r="F132" s="250"/>
    </row>
    <row r="133" spans="1:6" ht="19.5">
      <c r="A133" s="101"/>
      <c r="B133" s="248"/>
      <c r="C133" s="249"/>
      <c r="D133" s="249"/>
      <c r="E133" s="249"/>
      <c r="F133" s="250"/>
    </row>
    <row r="134" spans="1:6" ht="19.5">
      <c r="A134" s="101"/>
      <c r="B134" s="248"/>
      <c r="C134" s="249"/>
      <c r="D134" s="249"/>
      <c r="E134" s="249"/>
      <c r="F134" s="250"/>
    </row>
    <row r="135" spans="1:6" ht="19.5">
      <c r="A135" s="101"/>
      <c r="B135" s="248"/>
      <c r="C135" s="249"/>
      <c r="D135" s="249"/>
      <c r="E135" s="249"/>
      <c r="F135" s="250"/>
    </row>
    <row r="136" spans="1:6" ht="19.5">
      <c r="A136" s="101"/>
      <c r="B136" s="248"/>
      <c r="C136" s="249"/>
      <c r="D136" s="249"/>
      <c r="E136" s="249"/>
      <c r="F136" s="250"/>
    </row>
    <row r="137" spans="1:6" ht="19.5">
      <c r="A137" s="101"/>
      <c r="B137" s="248"/>
      <c r="C137" s="249"/>
      <c r="D137" s="249"/>
      <c r="E137" s="249"/>
      <c r="F137" s="250"/>
    </row>
    <row r="138" spans="1:6" ht="19.5">
      <c r="A138" s="101"/>
      <c r="B138" s="248"/>
      <c r="C138" s="249"/>
      <c r="D138" s="249"/>
      <c r="E138" s="249"/>
      <c r="F138" s="250"/>
    </row>
    <row r="139" spans="1:6" ht="19.5">
      <c r="A139" s="101"/>
      <c r="B139" s="248"/>
      <c r="C139" s="249"/>
      <c r="D139" s="249"/>
      <c r="E139" s="249"/>
      <c r="F139" s="250"/>
    </row>
    <row r="140" spans="1:6" ht="19.5">
      <c r="A140" s="101"/>
      <c r="B140" s="248"/>
      <c r="C140" s="249"/>
      <c r="D140" s="249"/>
      <c r="E140" s="249"/>
      <c r="F140" s="250"/>
    </row>
    <row r="141" spans="1:6" ht="19.5">
      <c r="A141" s="101"/>
      <c r="B141" s="248"/>
      <c r="C141" s="249"/>
      <c r="D141" s="249"/>
      <c r="E141" s="249"/>
      <c r="F141" s="250"/>
    </row>
    <row r="142" spans="1:6" ht="19.5">
      <c r="A142" s="101"/>
      <c r="B142" s="248"/>
      <c r="C142" s="249"/>
      <c r="D142" s="249"/>
      <c r="E142" s="249"/>
      <c r="F142" s="250"/>
    </row>
    <row r="143" spans="1:6" ht="19.5">
      <c r="A143" s="101"/>
      <c r="B143" s="248"/>
      <c r="C143" s="249"/>
      <c r="D143" s="249"/>
      <c r="E143" s="249"/>
      <c r="F143" s="250"/>
    </row>
    <row r="144" spans="1:6" ht="19.5">
      <c r="A144" s="101"/>
      <c r="B144" s="248"/>
      <c r="C144" s="249"/>
      <c r="D144" s="249"/>
      <c r="E144" s="249"/>
      <c r="F144" s="250"/>
    </row>
    <row r="145" spans="1:6" ht="19.5">
      <c r="A145" s="101"/>
      <c r="B145" s="248"/>
      <c r="C145" s="249"/>
      <c r="D145" s="249"/>
      <c r="E145" s="249"/>
      <c r="F145" s="250"/>
    </row>
    <row r="146" spans="1:6" ht="19.5">
      <c r="A146" s="101"/>
      <c r="B146" s="248"/>
      <c r="C146" s="249"/>
      <c r="D146" s="249"/>
      <c r="E146" s="249"/>
      <c r="F146" s="250"/>
    </row>
    <row r="147" spans="1:6" ht="19.5">
      <c r="A147" s="101"/>
      <c r="B147" s="248"/>
      <c r="C147" s="249"/>
      <c r="D147" s="249"/>
      <c r="E147" s="249"/>
      <c r="F147" s="250"/>
    </row>
    <row r="148" spans="1:6" ht="19.5">
      <c r="A148" s="101"/>
      <c r="B148" s="248"/>
      <c r="C148" s="249"/>
      <c r="D148" s="249"/>
      <c r="E148" s="249"/>
      <c r="F148" s="250"/>
    </row>
    <row r="149" spans="1:6" ht="19.5">
      <c r="A149" s="101"/>
      <c r="B149" s="248"/>
      <c r="C149" s="249"/>
      <c r="D149" s="249"/>
      <c r="E149" s="249"/>
      <c r="F149" s="250"/>
    </row>
    <row r="150" spans="1:6" ht="19.5">
      <c r="A150" s="101"/>
      <c r="B150" s="248"/>
      <c r="C150" s="249"/>
      <c r="D150" s="249"/>
      <c r="E150" s="249"/>
      <c r="F150" s="250"/>
    </row>
    <row r="151" spans="1:6" ht="19.5">
      <c r="A151" s="101"/>
      <c r="B151" s="248"/>
      <c r="C151" s="249"/>
      <c r="D151" s="249"/>
      <c r="E151" s="249"/>
      <c r="F151" s="250"/>
    </row>
    <row r="152" spans="1:6" ht="19.5">
      <c r="A152" s="101"/>
      <c r="B152" s="248"/>
      <c r="C152" s="249"/>
      <c r="D152" s="249"/>
      <c r="E152" s="249"/>
      <c r="F152" s="250"/>
    </row>
    <row r="153" spans="1:6" ht="19.5">
      <c r="A153" s="101"/>
      <c r="B153" s="248"/>
      <c r="C153" s="249"/>
      <c r="D153" s="249"/>
      <c r="E153" s="249"/>
      <c r="F153" s="250"/>
    </row>
    <row r="154" spans="1:6" ht="19.5">
      <c r="A154" s="101"/>
      <c r="B154" s="248"/>
      <c r="C154" s="249"/>
      <c r="D154" s="249"/>
      <c r="E154" s="249"/>
      <c r="F154" s="250"/>
    </row>
    <row r="155" spans="1:6" ht="19.5">
      <c r="A155" s="101"/>
      <c r="B155" s="248"/>
      <c r="C155" s="249"/>
      <c r="D155" s="249"/>
      <c r="E155" s="249"/>
      <c r="F155" s="250"/>
    </row>
    <row r="156" spans="1:6" ht="19.5">
      <c r="A156" s="101"/>
      <c r="B156" s="248"/>
      <c r="C156" s="249"/>
      <c r="D156" s="249"/>
      <c r="E156" s="249"/>
      <c r="F156" s="250"/>
    </row>
    <row r="157" spans="1:6" ht="19.5">
      <c r="A157" s="101"/>
      <c r="B157" s="248"/>
      <c r="C157" s="249"/>
      <c r="D157" s="249"/>
      <c r="E157" s="249"/>
      <c r="F157" s="250"/>
    </row>
    <row r="158" spans="1:6" ht="19.5">
      <c r="A158" s="101"/>
      <c r="B158" s="248"/>
      <c r="C158" s="249"/>
      <c r="D158" s="249"/>
      <c r="E158" s="249"/>
      <c r="F158" s="250"/>
    </row>
    <row r="159" spans="1:6" ht="19.5">
      <c r="A159" s="101"/>
      <c r="B159" s="248"/>
      <c r="C159" s="249"/>
      <c r="D159" s="249"/>
      <c r="E159" s="249"/>
      <c r="F159" s="250"/>
    </row>
    <row r="160" spans="1:6" ht="19.5">
      <c r="A160" s="101"/>
      <c r="B160" s="248"/>
      <c r="C160" s="249"/>
      <c r="D160" s="249"/>
      <c r="E160" s="249"/>
      <c r="F160" s="250"/>
    </row>
    <row r="161" spans="1:6" ht="19.5">
      <c r="A161" s="101"/>
      <c r="B161" s="248"/>
      <c r="C161" s="249"/>
      <c r="D161" s="249"/>
      <c r="E161" s="249"/>
      <c r="F161" s="250"/>
    </row>
    <row r="162" spans="1:6" ht="19.5">
      <c r="A162" s="101"/>
      <c r="B162" s="248"/>
      <c r="C162" s="249"/>
      <c r="D162" s="249"/>
      <c r="E162" s="249"/>
      <c r="F162" s="250"/>
    </row>
    <row r="163" spans="1:6" ht="19.5">
      <c r="A163" s="101"/>
      <c r="B163" s="248"/>
      <c r="C163" s="249"/>
      <c r="D163" s="249"/>
      <c r="E163" s="249"/>
      <c r="F163" s="250"/>
    </row>
    <row r="164" spans="1:6" ht="19.5">
      <c r="A164" s="101"/>
      <c r="B164" s="248"/>
      <c r="C164" s="249"/>
      <c r="D164" s="249"/>
      <c r="E164" s="249"/>
      <c r="F164" s="250"/>
    </row>
    <row r="165" spans="1:6" ht="19.5">
      <c r="A165" s="101"/>
      <c r="B165" s="248"/>
      <c r="C165" s="249"/>
      <c r="D165" s="249"/>
      <c r="E165" s="249"/>
      <c r="F165" s="250"/>
    </row>
    <row r="166" spans="1:6" ht="19.5">
      <c r="A166" s="101"/>
      <c r="B166" s="248"/>
      <c r="C166" s="249"/>
      <c r="D166" s="249"/>
      <c r="E166" s="249"/>
      <c r="F166" s="250"/>
    </row>
    <row r="167" spans="1:6" ht="19.5">
      <c r="A167" s="101"/>
      <c r="B167" s="248"/>
      <c r="C167" s="249"/>
      <c r="D167" s="249"/>
      <c r="E167" s="249"/>
      <c r="F167" s="250"/>
    </row>
    <row r="168" spans="1:6" ht="19.5">
      <c r="A168" s="101"/>
      <c r="B168" s="248"/>
      <c r="C168" s="249"/>
      <c r="D168" s="249"/>
      <c r="E168" s="249"/>
      <c r="F168" s="250"/>
    </row>
    <row r="169" spans="1:6" ht="19.5">
      <c r="A169" s="101"/>
      <c r="B169" s="248"/>
      <c r="C169" s="249"/>
      <c r="D169" s="249"/>
      <c r="E169" s="249"/>
      <c r="F169" s="250"/>
    </row>
    <row r="170" spans="1:6" ht="19.5">
      <c r="A170" s="101"/>
      <c r="B170" s="248"/>
      <c r="C170" s="249"/>
      <c r="D170" s="249"/>
      <c r="E170" s="249"/>
      <c r="F170" s="250"/>
    </row>
    <row r="171" spans="1:6" ht="19.5">
      <c r="A171" s="101"/>
      <c r="B171" s="248"/>
      <c r="C171" s="249"/>
      <c r="D171" s="249"/>
      <c r="E171" s="249"/>
      <c r="F171" s="250"/>
    </row>
    <row r="172" spans="1:6" ht="19.5">
      <c r="A172" s="101"/>
      <c r="B172" s="248"/>
      <c r="C172" s="249"/>
      <c r="D172" s="249"/>
      <c r="E172" s="249"/>
      <c r="F172" s="250"/>
    </row>
    <row r="173" spans="1:6" ht="19.5">
      <c r="A173" s="101"/>
      <c r="B173" s="248"/>
      <c r="C173" s="249"/>
      <c r="D173" s="249"/>
      <c r="E173" s="249"/>
      <c r="F173" s="250"/>
    </row>
    <row r="174" spans="1:6" ht="19.5">
      <c r="A174" s="101"/>
      <c r="B174" s="248"/>
      <c r="C174" s="249"/>
      <c r="D174" s="249"/>
      <c r="E174" s="249"/>
      <c r="F174" s="250"/>
    </row>
    <row r="175" spans="1:6" ht="19.5">
      <c r="A175" s="101"/>
      <c r="B175" s="248"/>
      <c r="C175" s="249"/>
      <c r="D175" s="249"/>
      <c r="E175" s="249"/>
      <c r="F175" s="250"/>
    </row>
    <row r="176" spans="1:6" ht="19.5">
      <c r="A176" s="101"/>
      <c r="B176" s="248"/>
      <c r="C176" s="249"/>
      <c r="D176" s="249"/>
      <c r="E176" s="249"/>
      <c r="F176" s="250"/>
    </row>
    <row r="177" spans="1:6" ht="19.5">
      <c r="A177" s="101"/>
      <c r="B177" s="248"/>
      <c r="C177" s="249"/>
      <c r="D177" s="249"/>
      <c r="E177" s="249"/>
      <c r="F177" s="250"/>
    </row>
    <row r="178" spans="1:6" ht="19.5">
      <c r="A178" s="101"/>
      <c r="B178" s="248"/>
      <c r="C178" s="249"/>
      <c r="D178" s="249"/>
      <c r="E178" s="249"/>
      <c r="F178" s="250"/>
    </row>
    <row r="179" spans="1:6" ht="19.5">
      <c r="A179" s="101"/>
      <c r="B179" s="248"/>
      <c r="C179" s="249"/>
      <c r="D179" s="249"/>
      <c r="E179" s="249"/>
      <c r="F179" s="250"/>
    </row>
    <row r="180" spans="1:6" ht="19.5">
      <c r="A180" s="101"/>
      <c r="B180" s="248"/>
      <c r="C180" s="249"/>
      <c r="D180" s="249"/>
      <c r="E180" s="249"/>
      <c r="F180" s="250"/>
    </row>
    <row r="181" spans="1:6" ht="19.5">
      <c r="A181" s="101"/>
      <c r="B181" s="248"/>
      <c r="C181" s="249"/>
      <c r="D181" s="249"/>
      <c r="E181" s="249"/>
      <c r="F181" s="250"/>
    </row>
    <row r="182" spans="1:6" ht="19.5">
      <c r="A182" s="101"/>
      <c r="B182" s="248"/>
      <c r="C182" s="249"/>
      <c r="D182" s="249"/>
      <c r="E182" s="249"/>
      <c r="F182" s="250"/>
    </row>
    <row r="183" spans="1:6" ht="19.5">
      <c r="A183" s="101"/>
      <c r="B183" s="248"/>
      <c r="C183" s="249"/>
      <c r="D183" s="249"/>
      <c r="E183" s="249"/>
      <c r="F183" s="250"/>
    </row>
    <row r="184" spans="1:6" ht="19.5">
      <c r="A184" s="101"/>
      <c r="B184" s="248"/>
      <c r="C184" s="249"/>
      <c r="D184" s="249"/>
      <c r="E184" s="249"/>
      <c r="F184" s="250"/>
    </row>
    <row r="185" spans="1:6" ht="19.5">
      <c r="A185" s="101"/>
      <c r="B185" s="248"/>
      <c r="C185" s="249"/>
      <c r="D185" s="249"/>
      <c r="E185" s="249"/>
      <c r="F185" s="250"/>
    </row>
    <row r="186" spans="1:6" ht="19.5">
      <c r="A186" s="101"/>
      <c r="B186" s="248"/>
      <c r="C186" s="249"/>
      <c r="D186" s="249"/>
      <c r="E186" s="249"/>
      <c r="F186" s="250"/>
    </row>
    <row r="187" spans="1:6" ht="19.5">
      <c r="A187" s="101"/>
      <c r="B187" s="248"/>
      <c r="C187" s="249"/>
      <c r="D187" s="249"/>
      <c r="E187" s="249"/>
      <c r="F187" s="250"/>
    </row>
    <row r="188" spans="1:6" ht="19.5">
      <c r="A188" s="101"/>
      <c r="B188" s="248"/>
      <c r="C188" s="249"/>
      <c r="D188" s="249"/>
      <c r="E188" s="249"/>
      <c r="F188" s="250"/>
    </row>
    <row r="189" spans="1:6" ht="19.5">
      <c r="A189" s="101"/>
      <c r="B189" s="248"/>
      <c r="C189" s="249"/>
      <c r="D189" s="249"/>
      <c r="E189" s="249"/>
      <c r="F189" s="250"/>
    </row>
    <row r="190" spans="1:6" ht="19.5">
      <c r="A190" s="101"/>
      <c r="B190" s="248"/>
      <c r="C190" s="249"/>
      <c r="D190" s="249"/>
      <c r="E190" s="249"/>
      <c r="F190" s="250"/>
    </row>
    <row r="191" spans="1:6" ht="19.5">
      <c r="A191" s="101"/>
      <c r="B191" s="248"/>
      <c r="C191" s="249"/>
      <c r="D191" s="249"/>
      <c r="E191" s="249"/>
      <c r="F191" s="250"/>
    </row>
    <row r="192" spans="1:6" ht="19.5">
      <c r="A192" s="101"/>
      <c r="B192" s="248"/>
      <c r="C192" s="249"/>
      <c r="D192" s="249"/>
      <c r="E192" s="249"/>
      <c r="F192" s="250"/>
    </row>
    <row r="193" spans="1:6" ht="19.5">
      <c r="A193" s="101"/>
      <c r="B193" s="248"/>
      <c r="C193" s="249"/>
      <c r="D193" s="249"/>
      <c r="E193" s="249"/>
      <c r="F193" s="250"/>
    </row>
    <row r="194" spans="1:6" ht="19.5">
      <c r="A194" s="101"/>
      <c r="B194" s="248"/>
      <c r="C194" s="249"/>
      <c r="D194" s="249"/>
      <c r="E194" s="249"/>
      <c r="F194" s="250"/>
    </row>
    <row r="195" spans="1:6" ht="19.5">
      <c r="A195" s="101"/>
      <c r="B195" s="248"/>
      <c r="C195" s="249"/>
      <c r="D195" s="249"/>
      <c r="E195" s="249"/>
      <c r="F195" s="250"/>
    </row>
    <row r="196" spans="1:6" ht="19.5">
      <c r="A196" s="101"/>
      <c r="B196" s="248"/>
      <c r="C196" s="249"/>
      <c r="D196" s="249"/>
      <c r="E196" s="249"/>
      <c r="F196" s="250"/>
    </row>
    <row r="197" spans="1:6" ht="19.5">
      <c r="A197" s="101"/>
      <c r="B197" s="248"/>
      <c r="C197" s="249"/>
      <c r="D197" s="249"/>
      <c r="E197" s="249"/>
      <c r="F197" s="250"/>
    </row>
    <row r="198" spans="1:6" ht="19.5">
      <c r="A198" s="101"/>
      <c r="B198" s="248"/>
      <c r="C198" s="249"/>
      <c r="D198" s="249"/>
      <c r="E198" s="249"/>
      <c r="F198" s="250"/>
    </row>
    <row r="199" spans="1:6" ht="19.5">
      <c r="A199" s="101"/>
      <c r="B199" s="248"/>
      <c r="C199" s="249"/>
      <c r="D199" s="249"/>
      <c r="E199" s="249"/>
      <c r="F199" s="250"/>
    </row>
    <row r="200" spans="1:6" ht="19.5">
      <c r="A200" s="101"/>
      <c r="B200" s="248"/>
      <c r="C200" s="249"/>
      <c r="D200" s="249"/>
      <c r="E200" s="249"/>
      <c r="F200" s="250"/>
    </row>
    <row r="201" spans="1:6" ht="19.5">
      <c r="A201" s="101"/>
      <c r="B201" s="248"/>
      <c r="C201" s="249"/>
      <c r="D201" s="249"/>
      <c r="E201" s="249"/>
      <c r="F201" s="250"/>
    </row>
    <row r="202" spans="1:6" ht="19.5">
      <c r="A202" s="101"/>
      <c r="B202" s="248"/>
      <c r="C202" s="249"/>
      <c r="D202" s="249"/>
      <c r="E202" s="249"/>
      <c r="F202" s="250"/>
    </row>
    <row r="203" spans="1:6" ht="19.5">
      <c r="A203" s="101"/>
      <c r="B203" s="248"/>
      <c r="C203" s="249"/>
      <c r="D203" s="249"/>
      <c r="E203" s="249"/>
      <c r="F203" s="250"/>
    </row>
    <row r="204" spans="1:6" ht="19.5">
      <c r="A204" s="101"/>
      <c r="B204" s="248"/>
      <c r="C204" s="249"/>
      <c r="D204" s="249"/>
      <c r="E204" s="249"/>
      <c r="F204" s="250"/>
    </row>
    <row r="205" spans="1:6" ht="19.5">
      <c r="A205" s="101"/>
      <c r="B205" s="248"/>
      <c r="C205" s="249"/>
      <c r="D205" s="249"/>
      <c r="E205" s="249"/>
      <c r="F205" s="250"/>
    </row>
    <row r="206" spans="1:6" ht="19.5">
      <c r="A206" s="101"/>
      <c r="B206" s="248"/>
      <c r="C206" s="249"/>
      <c r="D206" s="249"/>
      <c r="E206" s="249"/>
      <c r="F206" s="250"/>
    </row>
    <row r="207" spans="1:6" ht="19.5">
      <c r="A207" s="101"/>
      <c r="B207" s="248"/>
      <c r="C207" s="249"/>
      <c r="D207" s="249"/>
      <c r="E207" s="249"/>
      <c r="F207" s="250"/>
    </row>
    <row r="208" spans="1:6" ht="19.5">
      <c r="A208" s="101"/>
      <c r="B208" s="248"/>
      <c r="C208" s="249"/>
      <c r="D208" s="249"/>
      <c r="E208" s="249"/>
      <c r="F208" s="250"/>
    </row>
    <row r="209" spans="1:6" ht="19.5">
      <c r="A209" s="101"/>
      <c r="B209" s="248"/>
      <c r="C209" s="249"/>
      <c r="D209" s="249"/>
      <c r="E209" s="249"/>
      <c r="F209" s="250"/>
    </row>
    <row r="210" spans="1:6" ht="19.5">
      <c r="A210" s="101"/>
      <c r="B210" s="248"/>
      <c r="C210" s="249"/>
      <c r="D210" s="249"/>
      <c r="E210" s="249"/>
      <c r="F210" s="250"/>
    </row>
    <row r="211" spans="1:6" ht="19.5">
      <c r="A211" s="101"/>
      <c r="B211" s="248"/>
      <c r="C211" s="249"/>
      <c r="D211" s="249"/>
      <c r="E211" s="249"/>
      <c r="F211" s="250"/>
    </row>
    <row r="212" spans="1:6" ht="19.5">
      <c r="A212" s="101"/>
      <c r="B212" s="248"/>
      <c r="C212" s="249"/>
      <c r="D212" s="249"/>
      <c r="E212" s="249"/>
      <c r="F212" s="250"/>
    </row>
    <row r="213" spans="1:6" ht="19.5">
      <c r="A213" s="101"/>
      <c r="B213" s="248"/>
      <c r="C213" s="249"/>
      <c r="D213" s="249"/>
      <c r="E213" s="249"/>
      <c r="F213" s="250"/>
    </row>
    <row r="214" spans="1:6" ht="19.5">
      <c r="A214" s="101"/>
      <c r="B214" s="248"/>
      <c r="C214" s="249"/>
      <c r="D214" s="249"/>
      <c r="E214" s="249"/>
      <c r="F214" s="250"/>
    </row>
    <row r="215" spans="1:6" ht="19.5">
      <c r="A215" s="101"/>
      <c r="B215" s="248"/>
      <c r="C215" s="249"/>
      <c r="D215" s="249"/>
      <c r="E215" s="249"/>
      <c r="F215" s="250"/>
    </row>
    <row r="216" spans="1:6" ht="19.5">
      <c r="A216" s="101"/>
      <c r="B216" s="248"/>
      <c r="C216" s="249"/>
      <c r="D216" s="249"/>
      <c r="E216" s="249"/>
      <c r="F216" s="250"/>
    </row>
    <row r="217" spans="1:6" ht="19.5">
      <c r="A217" s="101"/>
      <c r="B217" s="248"/>
      <c r="C217" s="249"/>
      <c r="D217" s="249"/>
      <c r="E217" s="249"/>
      <c r="F217" s="250"/>
    </row>
    <row r="218" spans="1:6" ht="19.5">
      <c r="A218" s="101"/>
      <c r="B218" s="248"/>
      <c r="C218" s="249"/>
      <c r="D218" s="249"/>
      <c r="E218" s="249"/>
      <c r="F218" s="250"/>
    </row>
    <row r="219" spans="1:6" ht="19.5">
      <c r="A219" s="101"/>
      <c r="B219" s="248"/>
      <c r="C219" s="249"/>
      <c r="D219" s="249"/>
      <c r="E219" s="249"/>
      <c r="F219" s="250"/>
    </row>
    <row r="220" spans="1:6" ht="19.5">
      <c r="A220" s="101"/>
      <c r="B220" s="248"/>
      <c r="C220" s="249"/>
      <c r="D220" s="249"/>
      <c r="E220" s="249"/>
      <c r="F220" s="250"/>
    </row>
    <row r="221" spans="1:6" ht="19.5">
      <c r="A221" s="101"/>
      <c r="B221" s="248"/>
      <c r="C221" s="249"/>
      <c r="D221" s="249"/>
      <c r="E221" s="249"/>
      <c r="F221" s="250"/>
    </row>
    <row r="222" spans="1:6" ht="19.5">
      <c r="A222" s="101"/>
      <c r="B222" s="248"/>
      <c r="C222" s="249"/>
      <c r="D222" s="249"/>
      <c r="E222" s="249"/>
      <c r="F222" s="250"/>
    </row>
    <row r="223" spans="1:6" ht="19.5">
      <c r="A223" s="101"/>
      <c r="B223" s="248"/>
      <c r="C223" s="249"/>
      <c r="D223" s="249"/>
      <c r="E223" s="249"/>
      <c r="F223" s="250"/>
    </row>
    <row r="224" spans="1:6" ht="19.5">
      <c r="A224" s="101"/>
      <c r="B224" s="248"/>
      <c r="C224" s="249"/>
      <c r="D224" s="249"/>
      <c r="E224" s="249"/>
      <c r="F224" s="250"/>
    </row>
    <row r="225" spans="1:6" ht="19.5">
      <c r="A225" s="101"/>
      <c r="B225" s="248"/>
      <c r="C225" s="249"/>
      <c r="D225" s="249"/>
      <c r="E225" s="249"/>
      <c r="F225" s="250"/>
    </row>
    <row r="226" spans="1:6" ht="19.5">
      <c r="A226" s="101"/>
      <c r="B226" s="248"/>
      <c r="C226" s="249"/>
      <c r="D226" s="249"/>
      <c r="E226" s="249"/>
      <c r="F226" s="250"/>
    </row>
    <row r="227" spans="1:6" ht="19.5">
      <c r="A227" s="101"/>
      <c r="B227" s="248"/>
      <c r="C227" s="249"/>
      <c r="D227" s="249"/>
      <c r="E227" s="249"/>
      <c r="F227" s="250"/>
    </row>
    <row r="228" spans="1:6" ht="19.5">
      <c r="A228" s="101"/>
      <c r="B228" s="248"/>
      <c r="C228" s="249"/>
      <c r="D228" s="249"/>
      <c r="E228" s="249"/>
      <c r="F228" s="250"/>
    </row>
    <row r="229" spans="1:6" ht="19.5">
      <c r="A229" s="101"/>
      <c r="B229" s="248"/>
      <c r="C229" s="249"/>
      <c r="D229" s="249"/>
      <c r="E229" s="249"/>
      <c r="F229" s="250"/>
    </row>
    <row r="230" spans="1:6" ht="19.5">
      <c r="A230" s="101"/>
      <c r="B230" s="248"/>
      <c r="C230" s="249"/>
      <c r="D230" s="249"/>
      <c r="E230" s="249"/>
      <c r="F230" s="250"/>
    </row>
    <row r="231" spans="1:6" ht="19.5">
      <c r="A231" s="101"/>
      <c r="B231" s="248"/>
      <c r="C231" s="249"/>
      <c r="D231" s="249"/>
      <c r="E231" s="249"/>
      <c r="F231" s="250"/>
    </row>
    <row r="232" spans="1:6" ht="19.5">
      <c r="A232" s="101"/>
      <c r="B232" s="248"/>
      <c r="C232" s="249"/>
      <c r="D232" s="249"/>
      <c r="E232" s="249"/>
      <c r="F232" s="250"/>
    </row>
    <row r="233" spans="1:6" ht="19.5">
      <c r="A233" s="101"/>
      <c r="B233" s="248"/>
      <c r="C233" s="249"/>
      <c r="D233" s="249"/>
      <c r="E233" s="249"/>
      <c r="F233" s="250"/>
    </row>
    <row r="234" spans="1:6" ht="19.5">
      <c r="A234" s="101"/>
      <c r="B234" s="248"/>
      <c r="C234" s="249"/>
      <c r="D234" s="249"/>
      <c r="E234" s="249"/>
      <c r="F234" s="250"/>
    </row>
    <row r="235" spans="1:6" ht="19.5">
      <c r="A235" s="101"/>
      <c r="B235" s="248"/>
      <c r="C235" s="249"/>
      <c r="D235" s="249"/>
      <c r="E235" s="249"/>
      <c r="F235" s="250"/>
    </row>
    <row r="236" spans="1:6" ht="19.5">
      <c r="A236" s="101"/>
      <c r="B236" s="248"/>
      <c r="C236" s="249"/>
      <c r="D236" s="249"/>
      <c r="E236" s="249"/>
      <c r="F236" s="250"/>
    </row>
    <row r="237" spans="1:6" ht="19.5">
      <c r="A237" s="101"/>
      <c r="B237" s="248"/>
      <c r="C237" s="249"/>
      <c r="D237" s="249"/>
      <c r="E237" s="249"/>
      <c r="F237" s="250"/>
    </row>
    <row r="238" spans="1:6" ht="19.5">
      <c r="A238" s="101"/>
      <c r="B238" s="248"/>
      <c r="C238" s="249"/>
      <c r="D238" s="249"/>
      <c r="E238" s="249"/>
      <c r="F238" s="250"/>
    </row>
    <row r="239" spans="1:6" ht="19.5">
      <c r="A239" s="101"/>
      <c r="B239" s="248"/>
      <c r="C239" s="249"/>
      <c r="D239" s="249"/>
      <c r="E239" s="249"/>
      <c r="F239" s="250"/>
    </row>
    <row r="240" spans="1:6" ht="19.5">
      <c r="A240" s="101"/>
      <c r="B240" s="248"/>
      <c r="C240" s="249"/>
      <c r="D240" s="249"/>
      <c r="E240" s="249"/>
      <c r="F240" s="250"/>
    </row>
    <row r="241" spans="1:6" ht="19.5">
      <c r="A241" s="101"/>
      <c r="B241" s="248"/>
      <c r="C241" s="249"/>
      <c r="D241" s="249"/>
      <c r="E241" s="249"/>
      <c r="F241" s="250"/>
    </row>
    <row r="242" spans="1:6" ht="19.5">
      <c r="A242" s="101"/>
      <c r="B242" s="248"/>
      <c r="C242" s="249"/>
      <c r="D242" s="249"/>
      <c r="E242" s="249"/>
      <c r="F242" s="250"/>
    </row>
    <row r="243" spans="1:6" ht="19.5">
      <c r="A243" s="101"/>
      <c r="B243" s="248"/>
      <c r="C243" s="249"/>
      <c r="D243" s="249"/>
      <c r="E243" s="249"/>
      <c r="F243" s="250"/>
    </row>
    <row r="244" spans="1:6" ht="19.5">
      <c r="A244" s="101"/>
      <c r="B244" s="248"/>
      <c r="C244" s="249"/>
      <c r="D244" s="249"/>
      <c r="E244" s="249"/>
      <c r="F244" s="250"/>
    </row>
    <row r="245" spans="1:6" ht="19.5">
      <c r="A245" s="101"/>
      <c r="B245" s="248"/>
      <c r="C245" s="249"/>
      <c r="D245" s="249"/>
      <c r="E245" s="249"/>
      <c r="F245" s="250"/>
    </row>
    <row r="246" spans="1:6" ht="19.5">
      <c r="A246" s="101"/>
      <c r="B246" s="248"/>
      <c r="C246" s="249"/>
      <c r="D246" s="249"/>
      <c r="E246" s="249"/>
      <c r="F246" s="250"/>
    </row>
    <row r="247" spans="1:6" ht="19.5">
      <c r="A247" s="101"/>
      <c r="B247" s="248"/>
      <c r="C247" s="249"/>
      <c r="D247" s="249"/>
      <c r="E247" s="249"/>
      <c r="F247" s="250"/>
    </row>
    <row r="248" spans="1:6" ht="19.5">
      <c r="A248" s="101"/>
      <c r="B248" s="248"/>
      <c r="C248" s="249"/>
      <c r="D248" s="249"/>
      <c r="E248" s="249"/>
      <c r="F248" s="250"/>
    </row>
    <row r="249" spans="1:6" ht="19.5">
      <c r="A249" s="101"/>
      <c r="B249" s="248"/>
      <c r="C249" s="249"/>
      <c r="D249" s="249"/>
      <c r="E249" s="249"/>
      <c r="F249" s="250"/>
    </row>
    <row r="250" spans="1:6" ht="19.5">
      <c r="A250" s="101"/>
      <c r="B250" s="248"/>
      <c r="C250" s="249"/>
      <c r="D250" s="249"/>
      <c r="E250" s="249"/>
      <c r="F250" s="250"/>
    </row>
    <row r="251" spans="1:6" ht="19.5">
      <c r="A251" s="101"/>
      <c r="B251" s="248"/>
      <c r="C251" s="249"/>
      <c r="D251" s="249"/>
      <c r="E251" s="249"/>
      <c r="F251" s="250"/>
    </row>
    <row r="252" spans="1:6" ht="19.5">
      <c r="A252" s="101"/>
      <c r="B252" s="248"/>
      <c r="C252" s="249"/>
      <c r="D252" s="249"/>
      <c r="E252" s="249"/>
      <c r="F252" s="250"/>
    </row>
    <row r="253" spans="1:6" ht="19.5">
      <c r="A253" s="101"/>
      <c r="B253" s="248"/>
      <c r="C253" s="249"/>
      <c r="D253" s="249"/>
      <c r="E253" s="249"/>
      <c r="F253" s="250"/>
    </row>
    <row r="254" spans="1:6" ht="19.5">
      <c r="A254" s="101"/>
      <c r="B254" s="248"/>
      <c r="C254" s="249"/>
      <c r="D254" s="249"/>
      <c r="E254" s="249"/>
      <c r="F254" s="250"/>
    </row>
    <row r="255" spans="1:6" ht="19.5">
      <c r="A255" s="101"/>
      <c r="B255" s="248"/>
      <c r="C255" s="249"/>
      <c r="D255" s="249"/>
      <c r="E255" s="249"/>
      <c r="F255" s="250"/>
    </row>
    <row r="256" spans="1:6" ht="19.5">
      <c r="A256" s="101"/>
      <c r="B256" s="248"/>
      <c r="C256" s="249"/>
      <c r="D256" s="249"/>
      <c r="E256" s="249"/>
      <c r="F256" s="250"/>
    </row>
    <row r="257" spans="1:6" ht="19.5">
      <c r="A257" s="101"/>
      <c r="B257" s="248"/>
      <c r="C257" s="249"/>
      <c r="D257" s="249"/>
      <c r="E257" s="249"/>
      <c r="F257" s="250"/>
    </row>
    <row r="258" spans="1:6" ht="19.5">
      <c r="A258" s="101"/>
      <c r="B258" s="248"/>
      <c r="C258" s="249"/>
      <c r="D258" s="249"/>
      <c r="E258" s="249"/>
      <c r="F258" s="250"/>
    </row>
    <row r="259" spans="1:6" ht="19.5">
      <c r="A259" s="101"/>
      <c r="B259" s="248"/>
      <c r="C259" s="249"/>
      <c r="D259" s="249"/>
      <c r="E259" s="249"/>
      <c r="F259" s="250"/>
    </row>
    <row r="260" spans="1:6" ht="19.5">
      <c r="A260" s="101"/>
      <c r="B260" s="248"/>
      <c r="C260" s="249"/>
      <c r="D260" s="249"/>
      <c r="E260" s="249"/>
      <c r="F260" s="250"/>
    </row>
    <row r="261" spans="1:6" ht="19.5">
      <c r="A261" s="101"/>
      <c r="B261" s="248"/>
      <c r="C261" s="249"/>
      <c r="D261" s="249"/>
      <c r="E261" s="249"/>
      <c r="F261" s="250"/>
    </row>
    <row r="262" spans="1:6" ht="19.5">
      <c r="A262" s="101"/>
      <c r="B262" s="248"/>
      <c r="C262" s="249"/>
      <c r="D262" s="249"/>
      <c r="E262" s="249"/>
      <c r="F262" s="250"/>
    </row>
    <row r="263" spans="1:6" ht="19.5">
      <c r="A263" s="101"/>
      <c r="B263" s="248"/>
      <c r="C263" s="249"/>
      <c r="D263" s="249"/>
      <c r="E263" s="249"/>
      <c r="F263" s="250"/>
    </row>
    <row r="264" spans="1:6" ht="19.5">
      <c r="A264" s="101"/>
      <c r="B264" s="248"/>
      <c r="C264" s="249"/>
      <c r="D264" s="249"/>
      <c r="E264" s="249"/>
      <c r="F264" s="250"/>
    </row>
    <row r="265" spans="1:6" ht="19.5">
      <c r="A265" s="101"/>
      <c r="B265" s="248"/>
      <c r="C265" s="249"/>
      <c r="D265" s="249"/>
      <c r="E265" s="249"/>
      <c r="F265" s="250"/>
    </row>
    <row r="266" spans="1:6" ht="19.5">
      <c r="A266" s="101"/>
      <c r="B266" s="248"/>
      <c r="C266" s="249"/>
      <c r="D266" s="249"/>
      <c r="E266" s="249"/>
      <c r="F266" s="250"/>
    </row>
    <row r="267" spans="1:6" ht="19.5">
      <c r="A267" s="101"/>
      <c r="B267" s="248"/>
      <c r="C267" s="249"/>
      <c r="D267" s="249"/>
      <c r="E267" s="249"/>
      <c r="F267" s="250"/>
    </row>
    <row r="268" spans="1:6" ht="19.5">
      <c r="A268" s="101"/>
      <c r="B268" s="248"/>
      <c r="C268" s="249"/>
      <c r="D268" s="249"/>
      <c r="E268" s="249"/>
      <c r="F268" s="250"/>
    </row>
    <row r="269" spans="1:6" ht="19.5">
      <c r="A269" s="101"/>
      <c r="B269" s="248"/>
      <c r="C269" s="249"/>
      <c r="D269" s="249"/>
      <c r="E269" s="249"/>
      <c r="F269" s="250"/>
    </row>
    <row r="270" spans="1:6" ht="19.5">
      <c r="A270" s="101"/>
      <c r="B270" s="248"/>
      <c r="C270" s="249"/>
      <c r="D270" s="249"/>
      <c r="E270" s="249"/>
      <c r="F270" s="250"/>
    </row>
    <row r="271" spans="1:6" ht="19.5">
      <c r="A271" s="101"/>
      <c r="B271" s="248"/>
      <c r="C271" s="249"/>
      <c r="D271" s="249"/>
      <c r="E271" s="249"/>
      <c r="F271" s="250"/>
    </row>
    <row r="272" spans="1:6" ht="19.5">
      <c r="A272" s="101"/>
      <c r="B272" s="248"/>
      <c r="C272" s="249"/>
      <c r="D272" s="249"/>
      <c r="E272" s="249"/>
      <c r="F272" s="250"/>
    </row>
    <row r="273" spans="1:6" ht="19.5">
      <c r="A273" s="101"/>
      <c r="B273" s="248"/>
      <c r="C273" s="249"/>
      <c r="D273" s="249"/>
      <c r="E273" s="249"/>
      <c r="F273" s="250"/>
    </row>
    <row r="274" spans="1:6" ht="19.5">
      <c r="A274" s="101"/>
      <c r="B274" s="248"/>
      <c r="C274" s="249"/>
      <c r="D274" s="249"/>
      <c r="E274" s="249"/>
      <c r="F274" s="250"/>
    </row>
    <row r="275" spans="1:6" ht="19.5">
      <c r="A275" s="101"/>
      <c r="B275" s="248"/>
      <c r="C275" s="249"/>
      <c r="D275" s="249"/>
      <c r="E275" s="249"/>
      <c r="F275" s="250"/>
    </row>
    <row r="276" spans="1:6" ht="19.5">
      <c r="A276" s="101"/>
      <c r="B276" s="248"/>
      <c r="C276" s="249"/>
      <c r="D276" s="249"/>
      <c r="E276" s="249"/>
      <c r="F276" s="250"/>
    </row>
    <row r="277" spans="1:6" ht="19.5">
      <c r="A277" s="101"/>
      <c r="B277" s="248"/>
      <c r="C277" s="249"/>
      <c r="D277" s="249"/>
      <c r="E277" s="249"/>
      <c r="F277" s="250"/>
    </row>
    <row r="278" spans="1:6" ht="19.5">
      <c r="A278" s="101"/>
      <c r="B278" s="248"/>
      <c r="C278" s="249"/>
      <c r="D278" s="249"/>
      <c r="E278" s="249"/>
      <c r="F278" s="250"/>
    </row>
    <row r="279" spans="1:6" ht="19.5">
      <c r="A279" s="101"/>
      <c r="B279" s="248"/>
      <c r="C279" s="249"/>
      <c r="D279" s="249"/>
      <c r="E279" s="249"/>
      <c r="F279" s="250"/>
    </row>
    <row r="280" spans="1:6" ht="19.5">
      <c r="A280" s="101"/>
      <c r="B280" s="248"/>
      <c r="C280" s="249"/>
      <c r="D280" s="249"/>
      <c r="E280" s="249"/>
      <c r="F280" s="250"/>
    </row>
    <row r="281" spans="1:6" ht="19.5">
      <c r="A281" s="101"/>
      <c r="B281" s="248"/>
      <c r="C281" s="249"/>
      <c r="D281" s="249"/>
      <c r="E281" s="249"/>
      <c r="F281" s="250"/>
    </row>
    <row r="282" spans="1:6" ht="19.5">
      <c r="A282" s="101"/>
      <c r="B282" s="248"/>
      <c r="C282" s="249"/>
      <c r="D282" s="249"/>
      <c r="E282" s="249"/>
      <c r="F282" s="250"/>
    </row>
    <row r="283" spans="1:6" ht="19.5">
      <c r="A283" s="101"/>
      <c r="B283" s="248"/>
      <c r="C283" s="249"/>
      <c r="D283" s="249"/>
      <c r="E283" s="249"/>
      <c r="F283" s="250"/>
    </row>
    <row r="284" spans="1:6" ht="19.5">
      <c r="A284" s="101"/>
      <c r="B284" s="248"/>
      <c r="C284" s="249"/>
      <c r="D284" s="249"/>
      <c r="E284" s="249"/>
      <c r="F284" s="250"/>
    </row>
    <row r="285" spans="1:6" ht="19.5">
      <c r="A285" s="101"/>
      <c r="B285" s="248"/>
      <c r="C285" s="249"/>
      <c r="D285" s="249"/>
      <c r="E285" s="249"/>
      <c r="F285" s="250"/>
    </row>
    <row r="286" spans="1:6" ht="19.5">
      <c r="A286" s="101"/>
      <c r="B286" s="248"/>
      <c r="C286" s="249"/>
      <c r="D286" s="249"/>
      <c r="E286" s="249"/>
      <c r="F286" s="250"/>
    </row>
    <row r="287" spans="1:6" ht="19.5">
      <c r="A287" s="101"/>
      <c r="B287" s="248"/>
      <c r="C287" s="249"/>
      <c r="D287" s="249"/>
      <c r="E287" s="249"/>
      <c r="F287" s="250"/>
    </row>
    <row r="288" spans="1:6" ht="19.5">
      <c r="A288" s="101"/>
      <c r="B288" s="248"/>
      <c r="C288" s="249"/>
      <c r="D288" s="249"/>
      <c r="E288" s="249"/>
      <c r="F288" s="250"/>
    </row>
    <row r="289" spans="1:6" ht="19.5">
      <c r="A289" s="101"/>
      <c r="B289" s="248"/>
      <c r="C289" s="249"/>
      <c r="D289" s="249"/>
      <c r="E289" s="249"/>
      <c r="F289" s="250"/>
    </row>
    <row r="290" spans="1:6" ht="19.5">
      <c r="A290" s="101"/>
      <c r="B290" s="248"/>
      <c r="C290" s="249"/>
      <c r="D290" s="249"/>
      <c r="E290" s="249"/>
      <c r="F290" s="250"/>
    </row>
    <row r="291" spans="1:6" ht="19.5">
      <c r="A291" s="101"/>
      <c r="B291" s="248"/>
      <c r="C291" s="249"/>
      <c r="D291" s="249"/>
      <c r="E291" s="249"/>
      <c r="F291" s="250"/>
    </row>
    <row r="292" spans="1:6" ht="19.5">
      <c r="A292" s="101"/>
      <c r="B292" s="248"/>
      <c r="C292" s="249"/>
      <c r="D292" s="249"/>
      <c r="E292" s="249"/>
      <c r="F292" s="250"/>
    </row>
    <row r="293" spans="1:6" ht="19.5">
      <c r="A293" s="101"/>
      <c r="B293" s="248"/>
      <c r="C293" s="249"/>
      <c r="D293" s="249"/>
      <c r="E293" s="249"/>
      <c r="F293" s="250"/>
    </row>
    <row r="294" spans="1:6" ht="19.5">
      <c r="A294" s="101"/>
      <c r="B294" s="248"/>
      <c r="C294" s="249"/>
      <c r="D294" s="249"/>
      <c r="E294" s="249"/>
      <c r="F294" s="250"/>
    </row>
    <row r="295" spans="1:6" ht="19.5">
      <c r="A295" s="101"/>
      <c r="B295" s="248"/>
      <c r="C295" s="249"/>
      <c r="D295" s="249"/>
      <c r="E295" s="249"/>
      <c r="F295" s="250"/>
    </row>
    <row r="296" spans="1:6" ht="19.5">
      <c r="A296" s="101"/>
      <c r="B296" s="248"/>
      <c r="C296" s="249"/>
      <c r="D296" s="249"/>
      <c r="E296" s="249"/>
      <c r="F296" s="250"/>
    </row>
    <row r="297" spans="1:6" ht="19.5">
      <c r="A297" s="101"/>
      <c r="B297" s="248"/>
      <c r="C297" s="249"/>
      <c r="D297" s="249"/>
      <c r="E297" s="249"/>
      <c r="F297" s="250"/>
    </row>
    <row r="298" spans="1:6" ht="19.5">
      <c r="A298" s="101"/>
      <c r="B298" s="248"/>
      <c r="C298" s="249"/>
      <c r="D298" s="249"/>
      <c r="E298" s="249"/>
      <c r="F298" s="250"/>
    </row>
    <row r="299" spans="1:6" ht="19.5">
      <c r="A299" s="101"/>
      <c r="B299" s="248"/>
      <c r="C299" s="249"/>
      <c r="D299" s="249"/>
      <c r="E299" s="249"/>
      <c r="F299" s="250"/>
    </row>
    <row r="300" spans="1:6" ht="19.5">
      <c r="A300" s="101"/>
      <c r="B300" s="248"/>
      <c r="C300" s="249"/>
      <c r="D300" s="249"/>
      <c r="E300" s="249"/>
      <c r="F300" s="250"/>
    </row>
    <row r="301" spans="1:6" ht="19.5">
      <c r="A301" s="101"/>
      <c r="B301" s="248"/>
      <c r="C301" s="249"/>
      <c r="D301" s="249"/>
      <c r="E301" s="249"/>
      <c r="F301" s="250"/>
    </row>
    <row r="302" spans="1:6" ht="19.5">
      <c r="A302" s="101"/>
      <c r="B302" s="248"/>
      <c r="C302" s="249"/>
      <c r="D302" s="249"/>
      <c r="E302" s="249"/>
      <c r="F302" s="250"/>
    </row>
    <row r="303" spans="1:6" ht="19.5">
      <c r="A303" s="101"/>
      <c r="B303" s="248"/>
      <c r="C303" s="249"/>
      <c r="D303" s="249"/>
      <c r="E303" s="249"/>
      <c r="F303" s="250"/>
    </row>
    <row r="304" spans="1:6" ht="19.5">
      <c r="A304" s="101"/>
      <c r="B304" s="248"/>
      <c r="C304" s="249"/>
      <c r="D304" s="249"/>
      <c r="E304" s="249"/>
      <c r="F304" s="250"/>
    </row>
    <row r="305" spans="1:6" ht="19.5">
      <c r="A305" s="101"/>
      <c r="B305" s="248"/>
      <c r="C305" s="249"/>
      <c r="D305" s="249"/>
      <c r="E305" s="249"/>
      <c r="F305" s="250"/>
    </row>
    <row r="306" spans="1:6" ht="19.5">
      <c r="A306" s="101"/>
      <c r="B306" s="248"/>
      <c r="C306" s="249"/>
      <c r="D306" s="249"/>
      <c r="E306" s="249"/>
      <c r="F306" s="250"/>
    </row>
    <row r="307" spans="1:6" ht="19.5">
      <c r="A307" s="101"/>
      <c r="B307" s="248"/>
      <c r="C307" s="249"/>
      <c r="D307" s="249"/>
      <c r="E307" s="249"/>
      <c r="F307" s="250"/>
    </row>
    <row r="308" spans="1:6" ht="19.5">
      <c r="A308" s="101"/>
      <c r="B308" s="248"/>
      <c r="C308" s="249"/>
      <c r="D308" s="249"/>
      <c r="E308" s="249"/>
      <c r="F308" s="250"/>
    </row>
    <row r="309" spans="1:6" ht="19.5">
      <c r="A309" s="101"/>
      <c r="B309" s="248"/>
      <c r="C309" s="249"/>
      <c r="D309" s="249"/>
      <c r="E309" s="249"/>
      <c r="F309" s="250"/>
    </row>
    <row r="310" spans="1:6" ht="19.5">
      <c r="A310" s="101"/>
      <c r="B310" s="248"/>
      <c r="C310" s="249"/>
      <c r="D310" s="249"/>
      <c r="E310" s="249"/>
      <c r="F310" s="250"/>
    </row>
    <row r="311" spans="1:6" ht="19.5">
      <c r="A311" s="101"/>
      <c r="B311" s="248"/>
      <c r="C311" s="249"/>
      <c r="D311" s="249"/>
      <c r="E311" s="249"/>
      <c r="F311" s="250"/>
    </row>
    <row r="312" spans="1:6" ht="19.5">
      <c r="A312" s="101"/>
      <c r="B312" s="248"/>
      <c r="C312" s="249"/>
      <c r="D312" s="249"/>
      <c r="E312" s="249"/>
      <c r="F312" s="250"/>
    </row>
    <row r="313" spans="1:6" ht="19.5">
      <c r="A313" s="101"/>
      <c r="B313" s="248"/>
      <c r="C313" s="249"/>
      <c r="D313" s="249"/>
      <c r="E313" s="249"/>
      <c r="F313" s="250"/>
    </row>
    <row r="314" spans="1:6" ht="19.5">
      <c r="A314" s="101"/>
      <c r="B314" s="248"/>
      <c r="C314" s="249"/>
      <c r="D314" s="249"/>
      <c r="E314" s="249"/>
      <c r="F314" s="250"/>
    </row>
    <row r="315" spans="1:6" ht="19.5">
      <c r="A315" s="101"/>
      <c r="B315" s="248"/>
      <c r="C315" s="249"/>
      <c r="D315" s="249"/>
      <c r="E315" s="249"/>
      <c r="F315" s="250"/>
    </row>
    <row r="316" spans="1:6" ht="19.5">
      <c r="A316" s="101"/>
      <c r="B316" s="248"/>
      <c r="C316" s="249"/>
      <c r="D316" s="249"/>
      <c r="E316" s="249"/>
      <c r="F316" s="250"/>
    </row>
    <row r="317" spans="1:6" ht="19.5">
      <c r="A317" s="101"/>
      <c r="B317" s="248"/>
      <c r="C317" s="249"/>
      <c r="D317" s="249"/>
      <c r="E317" s="249"/>
      <c r="F317" s="250"/>
    </row>
    <row r="318" spans="1:6" ht="19.5">
      <c r="A318" s="101"/>
      <c r="B318" s="248"/>
      <c r="C318" s="249"/>
      <c r="D318" s="249"/>
      <c r="E318" s="249"/>
      <c r="F318" s="250"/>
    </row>
    <row r="319" spans="1:6" ht="19.5">
      <c r="A319" s="101"/>
      <c r="B319" s="248"/>
      <c r="C319" s="249"/>
      <c r="D319" s="249"/>
      <c r="E319" s="249"/>
      <c r="F319" s="250"/>
    </row>
    <row r="320" spans="1:6" ht="19.5">
      <c r="A320" s="101"/>
      <c r="B320" s="248"/>
      <c r="C320" s="249"/>
      <c r="D320" s="249"/>
      <c r="E320" s="249"/>
      <c r="F320" s="250"/>
    </row>
    <row r="321" spans="1:6" ht="19.5">
      <c r="A321" s="101"/>
      <c r="B321" s="248"/>
      <c r="C321" s="249"/>
      <c r="D321" s="249"/>
      <c r="E321" s="249"/>
      <c r="F321" s="250"/>
    </row>
    <row r="322" spans="1:6" ht="19.5">
      <c r="A322" s="101"/>
      <c r="B322" s="248"/>
      <c r="C322" s="249"/>
      <c r="D322" s="249"/>
      <c r="E322" s="249"/>
      <c r="F322" s="250"/>
    </row>
    <row r="323" spans="1:6" ht="19.5">
      <c r="A323" s="101"/>
      <c r="B323" s="248"/>
      <c r="C323" s="249"/>
      <c r="D323" s="249"/>
      <c r="E323" s="249"/>
      <c r="F323" s="250"/>
    </row>
    <row r="324" spans="1:6" ht="19.5">
      <c r="A324" s="101"/>
      <c r="B324" s="248"/>
      <c r="C324" s="249"/>
      <c r="D324" s="249"/>
      <c r="E324" s="249"/>
      <c r="F324" s="250"/>
    </row>
    <row r="325" spans="1:6" ht="19.5">
      <c r="A325" s="101"/>
      <c r="B325" s="248"/>
      <c r="C325" s="249"/>
      <c r="D325" s="249"/>
      <c r="E325" s="249"/>
      <c r="F325" s="250"/>
    </row>
    <row r="326" spans="1:6" ht="19.5">
      <c r="A326" s="101"/>
      <c r="B326" s="248"/>
      <c r="C326" s="249"/>
      <c r="D326" s="249"/>
      <c r="E326" s="249"/>
      <c r="F326" s="250"/>
    </row>
    <row r="327" spans="1:6" ht="19.5">
      <c r="A327" s="101"/>
      <c r="B327" s="248"/>
      <c r="C327" s="249"/>
      <c r="D327" s="249"/>
      <c r="E327" s="249"/>
      <c r="F327" s="250"/>
    </row>
    <row r="328" spans="1:6" ht="19.5">
      <c r="A328" s="101"/>
      <c r="B328" s="248"/>
      <c r="C328" s="249"/>
      <c r="D328" s="249"/>
      <c r="E328" s="249"/>
      <c r="F328" s="250"/>
    </row>
    <row r="329" spans="1:6" ht="19.5">
      <c r="A329" s="101"/>
      <c r="B329" s="248"/>
      <c r="C329" s="249"/>
      <c r="D329" s="249"/>
      <c r="E329" s="249"/>
      <c r="F329" s="250"/>
    </row>
    <row r="330" spans="1:6" ht="19.5">
      <c r="A330" s="101"/>
      <c r="B330" s="248"/>
      <c r="C330" s="249"/>
      <c r="D330" s="249"/>
      <c r="E330" s="249"/>
      <c r="F330" s="250"/>
    </row>
    <row r="331" spans="1:6" ht="19.5">
      <c r="A331" s="101"/>
      <c r="B331" s="248"/>
      <c r="C331" s="249"/>
      <c r="D331" s="249"/>
      <c r="E331" s="249"/>
      <c r="F331" s="250"/>
    </row>
    <row r="332" spans="1:6" ht="19.5">
      <c r="A332" s="101"/>
      <c r="B332" s="248"/>
      <c r="C332" s="249"/>
      <c r="D332" s="249"/>
      <c r="E332" s="249"/>
      <c r="F332" s="250"/>
    </row>
    <row r="333" spans="1:6" ht="19.5">
      <c r="A333" s="101"/>
      <c r="B333" s="248"/>
      <c r="C333" s="249"/>
      <c r="D333" s="249"/>
      <c r="E333" s="249"/>
      <c r="F333" s="250"/>
    </row>
    <row r="334" spans="1:6" ht="19.5">
      <c r="A334" s="101"/>
      <c r="B334" s="248"/>
      <c r="C334" s="249"/>
      <c r="D334" s="249"/>
      <c r="E334" s="249"/>
      <c r="F334" s="250"/>
    </row>
    <row r="335" spans="1:6" ht="19.5">
      <c r="A335" s="101"/>
      <c r="B335" s="248"/>
      <c r="C335" s="249"/>
      <c r="D335" s="249"/>
      <c r="E335" s="249"/>
      <c r="F335" s="250"/>
    </row>
    <row r="336" spans="1:6" ht="19.5">
      <c r="A336" s="101"/>
      <c r="B336" s="248"/>
      <c r="C336" s="249"/>
      <c r="D336" s="249"/>
      <c r="E336" s="249"/>
      <c r="F336" s="250"/>
    </row>
    <row r="337" spans="1:6" ht="19.5">
      <c r="A337" s="101"/>
      <c r="B337" s="248"/>
      <c r="C337" s="249"/>
      <c r="D337" s="249"/>
      <c r="E337" s="249"/>
      <c r="F337" s="250"/>
    </row>
    <row r="338" spans="1:6" ht="19.5">
      <c r="A338" s="101"/>
      <c r="B338" s="248"/>
      <c r="C338" s="249"/>
      <c r="D338" s="249"/>
      <c r="E338" s="249"/>
      <c r="F338" s="250"/>
    </row>
    <row r="339" spans="1:6" ht="19.5">
      <c r="A339" s="101"/>
      <c r="B339" s="248"/>
      <c r="C339" s="249"/>
      <c r="D339" s="249"/>
      <c r="E339" s="249"/>
      <c r="F339" s="250"/>
    </row>
    <row r="340" spans="1:6" ht="19.5">
      <c r="A340" s="101"/>
      <c r="B340" s="248"/>
      <c r="C340" s="249"/>
      <c r="D340" s="249"/>
      <c r="E340" s="249"/>
      <c r="F340" s="250"/>
    </row>
    <row r="341" spans="1:6" ht="19.5">
      <c r="A341" s="101"/>
      <c r="B341" s="248"/>
      <c r="C341" s="249"/>
      <c r="D341" s="249"/>
      <c r="E341" s="249"/>
      <c r="F341" s="250"/>
    </row>
    <row r="342" spans="1:6" ht="19.5">
      <c r="A342" s="101"/>
      <c r="B342" s="248"/>
      <c r="C342" s="249"/>
      <c r="D342" s="249"/>
      <c r="E342" s="249"/>
      <c r="F342" s="250"/>
    </row>
    <row r="343" spans="1:6" ht="19.5">
      <c r="A343" s="101"/>
      <c r="B343" s="248"/>
      <c r="C343" s="249"/>
      <c r="D343" s="249"/>
      <c r="E343" s="249"/>
      <c r="F343" s="250"/>
    </row>
    <row r="344" spans="1:6" ht="19.5">
      <c r="A344" s="101"/>
      <c r="B344" s="248"/>
      <c r="C344" s="249"/>
      <c r="D344" s="249"/>
      <c r="E344" s="249"/>
      <c r="F344" s="250"/>
    </row>
    <row r="345" spans="1:6" ht="19.5">
      <c r="A345" s="101"/>
      <c r="B345" s="248"/>
      <c r="C345" s="249"/>
      <c r="D345" s="249"/>
      <c r="E345" s="249"/>
      <c r="F345" s="250"/>
    </row>
    <row r="346" spans="1:6" ht="19.5">
      <c r="A346" s="101"/>
      <c r="B346" s="248"/>
      <c r="C346" s="249"/>
      <c r="D346" s="249"/>
      <c r="E346" s="249"/>
      <c r="F346" s="250"/>
    </row>
    <row r="347" spans="1:6" ht="19.5">
      <c r="A347" s="101"/>
      <c r="B347" s="248"/>
      <c r="C347" s="249"/>
      <c r="D347" s="249"/>
      <c r="E347" s="249"/>
      <c r="F347" s="250"/>
    </row>
    <row r="348" spans="1:6" ht="19.5">
      <c r="A348" s="101"/>
      <c r="B348" s="248"/>
      <c r="C348" s="249"/>
      <c r="D348" s="249"/>
      <c r="E348" s="249"/>
      <c r="F348" s="250"/>
    </row>
    <row r="349" spans="1:6" ht="19.5">
      <c r="A349" s="101"/>
      <c r="B349" s="248"/>
      <c r="C349" s="249"/>
      <c r="D349" s="249"/>
      <c r="E349" s="249"/>
      <c r="F349" s="250"/>
    </row>
    <row r="350" spans="1:6" ht="19.5">
      <c r="A350" s="101"/>
      <c r="B350" s="248"/>
      <c r="C350" s="249"/>
      <c r="D350" s="249"/>
      <c r="E350" s="249"/>
      <c r="F350" s="250"/>
    </row>
    <row r="351" spans="1:6" ht="19.5">
      <c r="A351" s="101"/>
      <c r="B351" s="248"/>
      <c r="C351" s="249"/>
      <c r="D351" s="249"/>
      <c r="E351" s="249"/>
      <c r="F351" s="250"/>
    </row>
    <row r="352" spans="1:6" ht="19.5">
      <c r="A352" s="101"/>
      <c r="B352" s="248"/>
      <c r="C352" s="249"/>
      <c r="D352" s="249"/>
      <c r="E352" s="249"/>
      <c r="F352" s="250"/>
    </row>
    <row r="353" spans="1:6" ht="19.5">
      <c r="A353" s="101"/>
      <c r="B353" s="248"/>
      <c r="C353" s="249"/>
      <c r="D353" s="249"/>
      <c r="E353" s="249"/>
      <c r="F353" s="250"/>
    </row>
    <row r="354" spans="1:6" ht="19.5">
      <c r="A354" s="101"/>
      <c r="B354" s="248"/>
      <c r="C354" s="249"/>
      <c r="D354" s="249"/>
      <c r="E354" s="249"/>
      <c r="F354" s="250"/>
    </row>
    <row r="355" spans="1:6" ht="19.5">
      <c r="A355" s="101"/>
      <c r="B355" s="248"/>
      <c r="C355" s="249"/>
      <c r="D355" s="249"/>
      <c r="E355" s="249"/>
      <c r="F355" s="250"/>
    </row>
    <row r="356" spans="1:6" ht="19.5">
      <c r="A356" s="101"/>
      <c r="B356" s="248"/>
      <c r="C356" s="249"/>
      <c r="D356" s="249"/>
      <c r="E356" s="249"/>
      <c r="F356" s="250"/>
    </row>
    <row r="357" spans="1:6" ht="19.5">
      <c r="A357" s="101"/>
      <c r="B357" s="248"/>
      <c r="C357" s="249"/>
      <c r="D357" s="249"/>
      <c r="E357" s="249"/>
      <c r="F357" s="250"/>
    </row>
    <row r="358" spans="1:6" ht="19.5">
      <c r="A358" s="101"/>
      <c r="B358" s="248"/>
      <c r="C358" s="249"/>
      <c r="D358" s="249"/>
      <c r="E358" s="249"/>
      <c r="F358" s="250"/>
    </row>
    <row r="359" spans="1:6" ht="19.5">
      <c r="A359" s="101"/>
      <c r="B359" s="248"/>
      <c r="C359" s="249"/>
      <c r="D359" s="249"/>
      <c r="E359" s="249"/>
      <c r="F359" s="250"/>
    </row>
    <row r="360" spans="1:6" ht="19.5">
      <c r="A360" s="101"/>
      <c r="B360" s="248"/>
      <c r="C360" s="249"/>
      <c r="D360" s="249"/>
      <c r="E360" s="249"/>
      <c r="F360" s="250"/>
    </row>
    <row r="361" spans="1:6" ht="19.5">
      <c r="A361" s="101"/>
      <c r="B361" s="248"/>
      <c r="C361" s="249"/>
      <c r="D361" s="249"/>
      <c r="E361" s="249"/>
      <c r="F361" s="250"/>
    </row>
    <row r="362" spans="1:6" ht="19.5">
      <c r="A362" s="101"/>
      <c r="B362" s="248"/>
      <c r="C362" s="249"/>
      <c r="D362" s="249"/>
      <c r="E362" s="249"/>
      <c r="F362" s="250"/>
    </row>
    <row r="363" spans="1:6" ht="19.5">
      <c r="A363" s="101"/>
      <c r="B363" s="248"/>
      <c r="C363" s="249"/>
      <c r="D363" s="249"/>
      <c r="E363" s="249"/>
      <c r="F363" s="250"/>
    </row>
    <row r="364" spans="1:6" ht="19.5">
      <c r="A364" s="101"/>
      <c r="B364" s="248"/>
      <c r="C364" s="249"/>
      <c r="D364" s="249"/>
      <c r="E364" s="249"/>
      <c r="F364" s="250"/>
    </row>
    <row r="365" spans="1:6" ht="19.5">
      <c r="A365" s="101"/>
      <c r="B365" s="248"/>
      <c r="C365" s="249"/>
      <c r="D365" s="249"/>
      <c r="E365" s="249"/>
      <c r="F365" s="250"/>
    </row>
    <row r="366" spans="1:6" ht="19.5">
      <c r="A366" s="101"/>
      <c r="B366" s="248"/>
      <c r="C366" s="249"/>
      <c r="D366" s="249"/>
      <c r="E366" s="249"/>
      <c r="F366" s="250"/>
    </row>
    <row r="367" spans="1:6" ht="19.5">
      <c r="A367" s="101"/>
      <c r="B367" s="248"/>
      <c r="C367" s="249"/>
      <c r="D367" s="249"/>
      <c r="E367" s="249"/>
      <c r="F367" s="250"/>
    </row>
    <row r="368" spans="1:6" ht="19.5">
      <c r="A368" s="101"/>
      <c r="B368" s="248"/>
      <c r="C368" s="249"/>
      <c r="D368" s="249"/>
      <c r="E368" s="249"/>
      <c r="F368" s="250"/>
    </row>
    <row r="369" spans="1:6" ht="19.5">
      <c r="A369" s="101"/>
      <c r="B369" s="248"/>
      <c r="C369" s="249"/>
      <c r="D369" s="249"/>
      <c r="E369" s="249"/>
      <c r="F369" s="250"/>
    </row>
    <row r="370" spans="1:6" ht="19.5">
      <c r="A370" s="101"/>
      <c r="B370" s="248"/>
      <c r="C370" s="249"/>
      <c r="D370" s="249"/>
      <c r="E370" s="249"/>
      <c r="F370" s="250"/>
    </row>
    <row r="371" spans="1:6" ht="19.5">
      <c r="A371" s="101"/>
      <c r="B371" s="248"/>
      <c r="C371" s="249"/>
      <c r="D371" s="249"/>
      <c r="E371" s="249"/>
      <c r="F371" s="250"/>
    </row>
    <row r="372" spans="1:6" ht="19.5">
      <c r="A372" s="101"/>
      <c r="B372" s="248"/>
      <c r="C372" s="249"/>
      <c r="D372" s="249"/>
      <c r="E372" s="249"/>
      <c r="F372" s="250"/>
    </row>
    <row r="373" spans="1:6" ht="19.5">
      <c r="A373" s="101"/>
      <c r="B373" s="248"/>
      <c r="C373" s="249"/>
      <c r="D373" s="249"/>
      <c r="E373" s="249"/>
      <c r="F373" s="250"/>
    </row>
    <row r="374" spans="1:6" ht="19.5">
      <c r="A374" s="101"/>
      <c r="B374" s="248"/>
      <c r="C374" s="249"/>
      <c r="D374" s="249"/>
      <c r="E374" s="249"/>
      <c r="F374" s="250"/>
    </row>
    <row r="375" spans="1:6" ht="19.5">
      <c r="A375" s="101"/>
      <c r="B375" s="248"/>
      <c r="C375" s="249"/>
      <c r="D375" s="249"/>
      <c r="E375" s="249"/>
      <c r="F375" s="250"/>
    </row>
    <row r="376" spans="1:6" ht="19.5">
      <c r="A376" s="101"/>
      <c r="B376" s="248"/>
      <c r="C376" s="249"/>
      <c r="D376" s="249"/>
      <c r="E376" s="249"/>
      <c r="F376" s="250"/>
    </row>
    <row r="377" spans="1:6" ht="19.5">
      <c r="A377" s="101"/>
      <c r="B377" s="248"/>
      <c r="C377" s="249"/>
      <c r="D377" s="249"/>
      <c r="E377" s="249"/>
      <c r="F377" s="250"/>
    </row>
    <row r="378" spans="1:6" ht="19.5">
      <c r="A378" s="101"/>
      <c r="B378" s="248"/>
      <c r="C378" s="249"/>
      <c r="D378" s="249"/>
      <c r="E378" s="249"/>
      <c r="F378" s="250"/>
    </row>
    <row r="379" spans="1:6" ht="19.5">
      <c r="A379" s="101"/>
      <c r="B379" s="248"/>
      <c r="C379" s="249"/>
      <c r="D379" s="249"/>
      <c r="E379" s="249"/>
      <c r="F379" s="250"/>
    </row>
    <row r="380" spans="1:6" ht="19.5">
      <c r="A380" s="101"/>
      <c r="B380" s="248"/>
      <c r="C380" s="249"/>
      <c r="D380" s="249"/>
      <c r="E380" s="249"/>
      <c r="F380" s="250"/>
    </row>
    <row r="381" spans="1:6" ht="19.5">
      <c r="A381" s="101"/>
      <c r="B381" s="248"/>
      <c r="C381" s="249"/>
      <c r="D381" s="249"/>
      <c r="E381" s="249"/>
      <c r="F381" s="250"/>
    </row>
    <row r="382" spans="1:6" ht="19.5">
      <c r="A382" s="101"/>
      <c r="B382" s="248"/>
      <c r="C382" s="249"/>
      <c r="D382" s="249"/>
      <c r="E382" s="249"/>
      <c r="F382" s="250"/>
    </row>
    <row r="383" spans="1:6" ht="19.5">
      <c r="A383" s="101"/>
      <c r="B383" s="248"/>
      <c r="C383" s="249"/>
      <c r="D383" s="249"/>
      <c r="E383" s="249"/>
      <c r="F383" s="250"/>
    </row>
    <row r="384" spans="1:6" ht="19.5">
      <c r="A384" s="101"/>
      <c r="B384" s="248"/>
      <c r="C384" s="249"/>
      <c r="D384" s="249"/>
      <c r="E384" s="249"/>
      <c r="F384" s="250"/>
    </row>
    <row r="385" spans="1:6" ht="19.5">
      <c r="A385" s="101"/>
      <c r="B385" s="248"/>
      <c r="C385" s="249"/>
      <c r="D385" s="249"/>
      <c r="E385" s="249"/>
      <c r="F385" s="250"/>
    </row>
    <row r="386" spans="1:6" ht="19.5">
      <c r="A386" s="101"/>
      <c r="B386" s="248"/>
      <c r="C386" s="249"/>
      <c r="D386" s="249"/>
      <c r="E386" s="249"/>
      <c r="F386" s="250"/>
    </row>
    <row r="387" spans="1:6" ht="19.5">
      <c r="A387" s="101"/>
      <c r="B387" s="248"/>
      <c r="C387" s="249"/>
      <c r="D387" s="249"/>
      <c r="E387" s="249"/>
      <c r="F387" s="250"/>
    </row>
    <row r="388" spans="1:6" ht="19.5">
      <c r="A388" s="101"/>
      <c r="B388" s="248"/>
      <c r="C388" s="249"/>
      <c r="D388" s="249"/>
      <c r="E388" s="249"/>
      <c r="F388" s="250"/>
    </row>
    <row r="389" spans="1:6" ht="19.5">
      <c r="A389" s="101"/>
      <c r="B389" s="248"/>
      <c r="C389" s="249"/>
      <c r="D389" s="249"/>
      <c r="E389" s="249"/>
      <c r="F389" s="250"/>
    </row>
    <row r="390" spans="1:6" ht="19.5">
      <c r="A390" s="101"/>
      <c r="B390" s="248"/>
      <c r="C390" s="249"/>
      <c r="D390" s="249"/>
      <c r="E390" s="249"/>
      <c r="F390" s="250"/>
    </row>
    <row r="391" spans="1:6" ht="19.5">
      <c r="A391" s="101"/>
      <c r="B391" s="248"/>
      <c r="C391" s="249"/>
      <c r="D391" s="249"/>
      <c r="E391" s="249"/>
      <c r="F391" s="250"/>
    </row>
    <row r="392" spans="1:6" ht="19.5">
      <c r="A392" s="101"/>
      <c r="B392" s="248"/>
      <c r="C392" s="249"/>
      <c r="D392" s="249"/>
      <c r="E392" s="249"/>
      <c r="F392" s="250"/>
    </row>
    <row r="393" spans="1:6" ht="19.5">
      <c r="A393" s="101"/>
      <c r="B393" s="248"/>
      <c r="C393" s="249"/>
      <c r="D393" s="249"/>
      <c r="E393" s="249"/>
      <c r="F393" s="250"/>
    </row>
    <row r="394" spans="1:6" ht="19.5">
      <c r="A394" s="101"/>
      <c r="B394" s="248"/>
      <c r="C394" s="249"/>
      <c r="D394" s="249"/>
      <c r="E394" s="249"/>
      <c r="F394" s="250"/>
    </row>
    <row r="395" spans="1:6" ht="19.5">
      <c r="A395" s="101"/>
      <c r="B395" s="248"/>
      <c r="C395" s="249"/>
      <c r="D395" s="249"/>
      <c r="E395" s="249"/>
      <c r="F395" s="250"/>
    </row>
    <row r="396" spans="1:6" ht="19.5">
      <c r="A396" s="101"/>
      <c r="B396" s="248"/>
      <c r="C396" s="249"/>
      <c r="D396" s="249"/>
      <c r="E396" s="249"/>
      <c r="F396" s="250"/>
    </row>
    <row r="397" spans="1:6" ht="19.5">
      <c r="A397" s="101"/>
      <c r="B397" s="248"/>
      <c r="C397" s="249"/>
      <c r="D397" s="249"/>
      <c r="E397" s="249"/>
      <c r="F397" s="250"/>
    </row>
    <row r="398" spans="1:6" ht="19.5">
      <c r="A398" s="101"/>
      <c r="B398" s="248"/>
      <c r="C398" s="249"/>
      <c r="D398" s="249"/>
      <c r="E398" s="249"/>
      <c r="F398" s="250"/>
    </row>
    <row r="399" spans="1:6" ht="19.5">
      <c r="A399" s="101"/>
      <c r="B399" s="248"/>
      <c r="C399" s="249"/>
      <c r="D399" s="249"/>
      <c r="E399" s="249"/>
      <c r="F399" s="250"/>
    </row>
    <row r="400" spans="1:6" ht="19.5">
      <c r="A400" s="101"/>
      <c r="B400" s="248"/>
      <c r="C400" s="249"/>
      <c r="D400" s="249"/>
      <c r="E400" s="249"/>
      <c r="F400" s="250"/>
    </row>
    <row r="401" spans="1:6" ht="19.5">
      <c r="A401" s="101"/>
      <c r="B401" s="248"/>
      <c r="C401" s="249"/>
      <c r="D401" s="249"/>
      <c r="E401" s="249"/>
      <c r="F401" s="250"/>
    </row>
    <row r="402" spans="1:6" ht="19.5">
      <c r="A402" s="101"/>
      <c r="B402" s="248"/>
      <c r="C402" s="249"/>
      <c r="D402" s="249"/>
      <c r="E402" s="249"/>
      <c r="F402" s="250"/>
    </row>
    <row r="403" spans="1:6" ht="19.5">
      <c r="A403" s="101"/>
      <c r="B403" s="248"/>
      <c r="C403" s="249"/>
      <c r="D403" s="249"/>
      <c r="E403" s="249"/>
      <c r="F403" s="250"/>
    </row>
    <row r="404" spans="1:6" ht="19.5">
      <c r="A404" s="101"/>
      <c r="B404" s="248"/>
      <c r="C404" s="249"/>
      <c r="D404" s="249"/>
      <c r="E404" s="249"/>
      <c r="F404" s="250"/>
    </row>
    <row r="405" spans="1:6" ht="19.5">
      <c r="A405" s="101"/>
      <c r="B405" s="248"/>
      <c r="C405" s="249"/>
      <c r="D405" s="249"/>
      <c r="E405" s="249"/>
      <c r="F405" s="250"/>
    </row>
    <row r="406" spans="1:6" ht="19.5">
      <c r="A406" s="101"/>
      <c r="B406" s="248"/>
      <c r="C406" s="249"/>
      <c r="D406" s="249"/>
      <c r="E406" s="249"/>
      <c r="F406" s="250"/>
    </row>
    <row r="407" spans="1:6" ht="19.5">
      <c r="A407" s="101"/>
      <c r="B407" s="248"/>
      <c r="C407" s="249"/>
      <c r="D407" s="249"/>
      <c r="E407" s="249"/>
      <c r="F407" s="250"/>
    </row>
    <row r="408" spans="1:6" ht="19.5">
      <c r="A408" s="101"/>
      <c r="B408" s="248"/>
      <c r="C408" s="249"/>
      <c r="D408" s="249"/>
      <c r="E408" s="249"/>
      <c r="F408" s="250"/>
    </row>
    <row r="409" spans="1:6" ht="19.5">
      <c r="A409" s="101"/>
      <c r="B409" s="248"/>
      <c r="C409" s="249"/>
      <c r="D409" s="249"/>
      <c r="E409" s="249"/>
      <c r="F409" s="250"/>
    </row>
    <row r="410" spans="1:6" ht="19.5">
      <c r="A410" s="101"/>
      <c r="B410" s="248"/>
      <c r="C410" s="249"/>
      <c r="D410" s="249"/>
      <c r="E410" s="249"/>
      <c r="F410" s="250"/>
    </row>
    <row r="411" spans="1:6" ht="19.5">
      <c r="A411" s="101"/>
      <c r="B411" s="248"/>
      <c r="C411" s="249"/>
      <c r="D411" s="249"/>
      <c r="E411" s="249"/>
      <c r="F411" s="250"/>
    </row>
    <row r="412" spans="1:6" ht="19.5">
      <c r="A412" s="101"/>
      <c r="B412" s="248"/>
      <c r="C412" s="249"/>
      <c r="D412" s="249"/>
      <c r="E412" s="249"/>
      <c r="F412" s="250"/>
    </row>
    <row r="413" spans="1:6" ht="19.5">
      <c r="A413" s="101"/>
      <c r="B413" s="248"/>
      <c r="C413" s="249"/>
      <c r="D413" s="249"/>
      <c r="E413" s="249"/>
      <c r="F413" s="250"/>
    </row>
    <row r="414" spans="1:6" ht="19.5">
      <c r="A414" s="101"/>
      <c r="B414" s="248"/>
      <c r="C414" s="249"/>
      <c r="D414" s="249"/>
      <c r="E414" s="249"/>
      <c r="F414" s="250"/>
    </row>
    <row r="415" spans="1:6" ht="19.5">
      <c r="A415" s="101"/>
      <c r="B415" s="248"/>
      <c r="C415" s="249"/>
      <c r="D415" s="249"/>
      <c r="E415" s="249"/>
      <c r="F415" s="250"/>
    </row>
    <row r="416" spans="1:6" ht="19.5">
      <c r="A416" s="101"/>
      <c r="B416" s="248"/>
      <c r="C416" s="249"/>
      <c r="D416" s="249"/>
      <c r="E416" s="249"/>
      <c r="F416" s="250"/>
    </row>
    <row r="417" spans="1:6" ht="19.5">
      <c r="A417" s="101"/>
      <c r="B417" s="248"/>
      <c r="C417" s="249"/>
      <c r="D417" s="249"/>
      <c r="E417" s="249"/>
      <c r="F417" s="250"/>
    </row>
    <row r="418" spans="1:6" ht="19.5">
      <c r="A418" s="101"/>
      <c r="B418" s="248"/>
      <c r="C418" s="249"/>
      <c r="D418" s="249"/>
      <c r="E418" s="249"/>
      <c r="F418" s="250"/>
    </row>
    <row r="419" spans="1:6" ht="19.5">
      <c r="A419" s="101"/>
      <c r="B419" s="248"/>
      <c r="C419" s="249"/>
      <c r="D419" s="249"/>
      <c r="E419" s="249"/>
      <c r="F419" s="250"/>
    </row>
    <row r="420" spans="1:6" ht="19.5">
      <c r="A420" s="101"/>
      <c r="B420" s="248"/>
      <c r="C420" s="249"/>
      <c r="D420" s="249"/>
      <c r="E420" s="249"/>
      <c r="F420" s="250"/>
    </row>
    <row r="421" spans="1:6" ht="19.5">
      <c r="A421" s="101"/>
      <c r="B421" s="248"/>
      <c r="C421" s="249"/>
      <c r="D421" s="249"/>
      <c r="E421" s="249"/>
      <c r="F421" s="250"/>
    </row>
    <row r="422" spans="1:6" ht="19.5">
      <c r="A422" s="101"/>
      <c r="B422" s="248"/>
      <c r="C422" s="249"/>
      <c r="D422" s="249"/>
      <c r="E422" s="249"/>
      <c r="F422" s="250"/>
    </row>
    <row r="423" spans="1:6" ht="19.5">
      <c r="A423" s="101"/>
      <c r="B423" s="248"/>
      <c r="C423" s="249"/>
      <c r="D423" s="249"/>
      <c r="E423" s="249"/>
      <c r="F423" s="250"/>
    </row>
    <row r="424" spans="1:6" ht="19.5">
      <c r="A424" s="101"/>
      <c r="B424" s="248"/>
      <c r="C424" s="249"/>
      <c r="D424" s="249"/>
      <c r="E424" s="249"/>
      <c r="F424" s="250"/>
    </row>
    <row r="425" spans="1:6" ht="19.5">
      <c r="A425" s="101"/>
      <c r="B425" s="248"/>
      <c r="C425" s="249"/>
      <c r="D425" s="249"/>
      <c r="E425" s="249"/>
      <c r="F425" s="250"/>
    </row>
    <row r="426" spans="1:6" ht="19.5">
      <c r="A426" s="101"/>
      <c r="B426" s="248"/>
      <c r="C426" s="249"/>
      <c r="D426" s="249"/>
      <c r="E426" s="249"/>
      <c r="F426" s="250"/>
    </row>
    <row r="427" spans="1:6" ht="19.5">
      <c r="A427" s="101"/>
      <c r="B427" s="248"/>
      <c r="C427" s="249"/>
      <c r="D427" s="249"/>
      <c r="E427" s="249"/>
      <c r="F427" s="250"/>
    </row>
    <row r="428" spans="1:6" ht="19.5">
      <c r="A428" s="101"/>
      <c r="B428" s="248"/>
      <c r="C428" s="249"/>
      <c r="D428" s="249"/>
      <c r="E428" s="249"/>
      <c r="F428" s="250"/>
    </row>
    <row r="429" spans="1:6" ht="19.5">
      <c r="A429" s="101"/>
      <c r="B429" s="248"/>
      <c r="C429" s="249"/>
      <c r="D429" s="249"/>
      <c r="E429" s="249"/>
      <c r="F429" s="250"/>
    </row>
    <row r="430" spans="1:6" ht="19.5">
      <c r="A430" s="101"/>
      <c r="B430" s="248"/>
      <c r="C430" s="249"/>
      <c r="D430" s="249"/>
      <c r="E430" s="249"/>
      <c r="F430" s="250"/>
    </row>
    <row r="431" spans="1:6" ht="19.5">
      <c r="A431" s="101"/>
      <c r="B431" s="248"/>
      <c r="C431" s="249"/>
      <c r="D431" s="249"/>
      <c r="E431" s="249"/>
      <c r="F431" s="250"/>
    </row>
    <row r="432" spans="1:6" ht="19.5">
      <c r="A432" s="101"/>
      <c r="B432" s="248"/>
      <c r="C432" s="249"/>
      <c r="D432" s="249"/>
      <c r="E432" s="249"/>
      <c r="F432" s="250"/>
    </row>
    <row r="433" spans="1:6" ht="19.5">
      <c r="A433" s="101"/>
      <c r="B433" s="248"/>
      <c r="C433" s="249"/>
      <c r="D433" s="249"/>
      <c r="E433" s="249"/>
      <c r="F433" s="250"/>
    </row>
    <row r="434" spans="1:6" ht="19.5">
      <c r="A434" s="101"/>
      <c r="B434" s="248"/>
      <c r="C434" s="249"/>
      <c r="D434" s="249"/>
      <c r="E434" s="249"/>
      <c r="F434" s="250"/>
    </row>
    <row r="435" spans="1:6" ht="19.5">
      <c r="A435" s="101"/>
      <c r="B435" s="248"/>
      <c r="C435" s="249"/>
      <c r="D435" s="249"/>
      <c r="E435" s="249"/>
      <c r="F435" s="250"/>
    </row>
    <row r="436" spans="1:6" ht="19.5">
      <c r="A436" s="101"/>
      <c r="B436" s="248"/>
      <c r="C436" s="249"/>
      <c r="D436" s="249"/>
      <c r="E436" s="249"/>
      <c r="F436" s="250"/>
    </row>
    <row r="437" spans="1:6" ht="19.5">
      <c r="A437" s="101"/>
      <c r="B437" s="248"/>
      <c r="C437" s="249"/>
      <c r="D437" s="249"/>
      <c r="E437" s="249"/>
      <c r="F437" s="250"/>
    </row>
    <row r="438" spans="1:6" ht="19.5">
      <c r="A438" s="101"/>
      <c r="B438" s="248"/>
      <c r="C438" s="249"/>
      <c r="D438" s="249"/>
      <c r="E438" s="249"/>
      <c r="F438" s="250"/>
    </row>
    <row r="439" spans="1:6" ht="19.5">
      <c r="A439" s="101"/>
      <c r="B439" s="248"/>
      <c r="C439" s="249"/>
      <c r="D439" s="249"/>
      <c r="E439" s="249"/>
      <c r="F439" s="250"/>
    </row>
    <row r="440" spans="1:6" ht="19.5">
      <c r="A440" s="101"/>
      <c r="B440" s="248"/>
      <c r="C440" s="249"/>
      <c r="D440" s="249"/>
      <c r="E440" s="249"/>
      <c r="F440" s="250"/>
    </row>
    <row r="441" spans="1:6" ht="19.5">
      <c r="A441" s="101"/>
      <c r="B441" s="248"/>
      <c r="C441" s="249"/>
      <c r="D441" s="249"/>
      <c r="E441" s="249"/>
      <c r="F441" s="250"/>
    </row>
    <row r="442" spans="1:6" ht="19.5">
      <c r="A442" s="101"/>
      <c r="B442" s="248"/>
      <c r="C442" s="249"/>
      <c r="D442" s="249"/>
      <c r="E442" s="249"/>
      <c r="F442" s="250"/>
    </row>
    <row r="443" spans="1:6" ht="19.5">
      <c r="A443" s="101"/>
      <c r="B443" s="248"/>
      <c r="C443" s="249"/>
      <c r="D443" s="249"/>
      <c r="E443" s="249"/>
      <c r="F443" s="250"/>
    </row>
    <row r="444" spans="1:6" ht="19.5">
      <c r="A444" s="101"/>
      <c r="B444" s="248"/>
      <c r="C444" s="249"/>
      <c r="D444" s="249"/>
      <c r="E444" s="249"/>
      <c r="F444" s="250"/>
    </row>
    <row r="445" spans="1:6" ht="19.5">
      <c r="A445" s="101"/>
      <c r="B445" s="248"/>
      <c r="C445" s="249"/>
      <c r="D445" s="249"/>
      <c r="E445" s="249"/>
      <c r="F445" s="250"/>
    </row>
    <row r="446" spans="1:6" ht="19.5">
      <c r="A446" s="101"/>
      <c r="B446" s="248"/>
      <c r="C446" s="249"/>
      <c r="D446" s="249"/>
      <c r="E446" s="249"/>
      <c r="F446" s="250"/>
    </row>
    <row r="447" spans="1:6" ht="19.5">
      <c r="A447" s="101"/>
      <c r="B447" s="248"/>
      <c r="C447" s="249"/>
      <c r="D447" s="249"/>
      <c r="E447" s="249"/>
      <c r="F447" s="250"/>
    </row>
    <row r="448" spans="1:6" ht="19.5">
      <c r="A448" s="101"/>
      <c r="B448" s="248"/>
      <c r="C448" s="249"/>
      <c r="D448" s="249"/>
      <c r="E448" s="249"/>
      <c r="F448" s="250"/>
    </row>
    <row r="449" spans="1:6" ht="19.5">
      <c r="A449" s="101"/>
      <c r="B449" s="248"/>
      <c r="C449" s="249"/>
      <c r="D449" s="249"/>
      <c r="E449" s="249"/>
      <c r="F449" s="250"/>
    </row>
    <row r="450" spans="1:6" ht="19.5">
      <c r="A450" s="101"/>
      <c r="B450" s="248"/>
      <c r="C450" s="249"/>
      <c r="D450" s="249"/>
      <c r="E450" s="249"/>
      <c r="F450" s="250"/>
    </row>
    <row r="451" spans="1:6" ht="19.5">
      <c r="A451" s="101"/>
      <c r="B451" s="248"/>
      <c r="C451" s="249"/>
      <c r="D451" s="249"/>
      <c r="E451" s="249"/>
      <c r="F451" s="250"/>
    </row>
    <row r="452" spans="1:6" ht="19.5">
      <c r="A452" s="101"/>
      <c r="B452" s="248"/>
      <c r="C452" s="249"/>
      <c r="D452" s="249"/>
      <c r="E452" s="249"/>
      <c r="F452" s="250"/>
    </row>
    <row r="453" spans="1:6" ht="19.5">
      <c r="A453" s="101"/>
      <c r="B453" s="248"/>
      <c r="C453" s="249"/>
      <c r="D453" s="249"/>
      <c r="E453" s="249"/>
      <c r="F453" s="250"/>
    </row>
    <row r="454" spans="1:6" ht="19.5">
      <c r="A454" s="101"/>
      <c r="B454" s="248"/>
      <c r="C454" s="249"/>
      <c r="D454" s="249"/>
      <c r="E454" s="249"/>
      <c r="F454" s="250"/>
    </row>
    <row r="455" spans="1:6" ht="19.5">
      <c r="A455" s="101"/>
      <c r="B455" s="248"/>
      <c r="C455" s="249"/>
      <c r="D455" s="249"/>
      <c r="E455" s="249"/>
      <c r="F455" s="250"/>
    </row>
    <row r="456" spans="1:6" ht="19.5">
      <c r="A456" s="101"/>
      <c r="B456" s="248"/>
      <c r="C456" s="249"/>
      <c r="D456" s="249"/>
      <c r="E456" s="249"/>
      <c r="F456" s="250"/>
    </row>
    <row r="457" spans="1:6" ht="19.5">
      <c r="A457" s="101"/>
      <c r="B457" s="248"/>
      <c r="C457" s="249"/>
      <c r="D457" s="249"/>
      <c r="E457" s="249"/>
      <c r="F457" s="250"/>
    </row>
    <row r="458" spans="1:6" ht="19.5">
      <c r="A458" s="101"/>
      <c r="B458" s="248"/>
      <c r="C458" s="249"/>
      <c r="D458" s="249"/>
      <c r="E458" s="249"/>
      <c r="F458" s="250"/>
    </row>
    <row r="459" spans="1:6" ht="19.5">
      <c r="A459" s="101"/>
      <c r="B459" s="248"/>
      <c r="C459" s="249"/>
      <c r="D459" s="249"/>
      <c r="E459" s="249"/>
      <c r="F459" s="250"/>
    </row>
    <row r="460" spans="1:6" ht="19.5">
      <c r="A460" s="101"/>
      <c r="B460" s="248"/>
      <c r="C460" s="249"/>
      <c r="D460" s="249"/>
      <c r="E460" s="249"/>
      <c r="F460" s="250"/>
    </row>
    <row r="461" spans="1:6" ht="19.5">
      <c r="A461" s="101"/>
      <c r="B461" s="248"/>
      <c r="C461" s="249"/>
      <c r="D461" s="249"/>
      <c r="E461" s="249"/>
      <c r="F461" s="250"/>
    </row>
    <row r="462" spans="1:6" ht="19.5">
      <c r="A462" s="101"/>
      <c r="B462" s="248"/>
      <c r="C462" s="249"/>
      <c r="D462" s="249"/>
      <c r="E462" s="249"/>
      <c r="F462" s="250"/>
    </row>
    <row r="463" spans="1:6" ht="19.5">
      <c r="A463" s="101"/>
      <c r="B463" s="248"/>
      <c r="C463" s="249"/>
      <c r="D463" s="249"/>
      <c r="E463" s="249"/>
      <c r="F463" s="250"/>
    </row>
    <row r="464" spans="1:6" ht="19.5">
      <c r="A464" s="101"/>
      <c r="B464" s="248"/>
      <c r="C464" s="249"/>
      <c r="D464" s="249"/>
      <c r="E464" s="249"/>
      <c r="F464" s="250"/>
    </row>
    <row r="465" spans="1:6" ht="19.5">
      <c r="A465" s="101"/>
      <c r="B465" s="248"/>
      <c r="C465" s="249"/>
      <c r="D465" s="249"/>
      <c r="E465" s="249"/>
      <c r="F465" s="250"/>
    </row>
    <row r="466" spans="1:6" ht="19.5">
      <c r="A466" s="101"/>
      <c r="B466" s="248"/>
      <c r="C466" s="249"/>
      <c r="D466" s="249"/>
      <c r="E466" s="249"/>
      <c r="F466" s="250"/>
    </row>
    <row r="467" spans="1:6" ht="19.5">
      <c r="A467" s="101"/>
      <c r="B467" s="248"/>
      <c r="C467" s="249"/>
      <c r="D467" s="249"/>
      <c r="E467" s="249"/>
      <c r="F467" s="250"/>
    </row>
    <row r="468" spans="1:6" ht="19.5">
      <c r="A468" s="101"/>
      <c r="B468" s="248"/>
      <c r="C468" s="249"/>
      <c r="D468" s="249"/>
      <c r="E468" s="249"/>
      <c r="F468" s="250"/>
    </row>
    <row r="469" spans="1:6" ht="19.5">
      <c r="A469" s="101"/>
      <c r="B469" s="248"/>
      <c r="C469" s="249"/>
      <c r="D469" s="249"/>
      <c r="E469" s="249"/>
      <c r="F469" s="250"/>
    </row>
    <row r="470" spans="1:6" ht="19.5">
      <c r="A470" s="101"/>
      <c r="B470" s="248"/>
      <c r="C470" s="249"/>
      <c r="D470" s="249"/>
      <c r="E470" s="249"/>
      <c r="F470" s="250"/>
    </row>
    <row r="471" spans="1:6" ht="19.5">
      <c r="A471" s="101"/>
      <c r="B471" s="248"/>
      <c r="C471" s="249"/>
      <c r="D471" s="249"/>
      <c r="E471" s="249"/>
      <c r="F471" s="250"/>
    </row>
    <row r="472" spans="1:6" ht="19.5">
      <c r="A472" s="101"/>
      <c r="B472" s="248"/>
      <c r="C472" s="249"/>
      <c r="D472" s="249"/>
      <c r="E472" s="249"/>
      <c r="F472" s="250"/>
    </row>
    <row r="473" spans="1:6" ht="19.5">
      <c r="A473" s="101"/>
      <c r="B473" s="248"/>
      <c r="C473" s="249"/>
      <c r="D473" s="249"/>
      <c r="E473" s="249"/>
      <c r="F473" s="250"/>
    </row>
    <row r="474" spans="1:6" ht="19.5">
      <c r="A474" s="101"/>
      <c r="B474" s="248"/>
      <c r="C474" s="249"/>
      <c r="D474" s="249"/>
      <c r="E474" s="249"/>
      <c r="F474" s="250"/>
    </row>
    <row r="475" spans="1:6" ht="19.5">
      <c r="A475" s="101"/>
      <c r="B475" s="248"/>
      <c r="C475" s="249"/>
      <c r="D475" s="249"/>
      <c r="E475" s="249"/>
      <c r="F475" s="250"/>
    </row>
    <row r="476" spans="1:6" ht="19.5">
      <c r="A476" s="101"/>
      <c r="B476" s="248"/>
      <c r="C476" s="249"/>
      <c r="D476" s="249"/>
      <c r="E476" s="249"/>
      <c r="F476" s="250"/>
    </row>
    <row r="477" spans="1:6" ht="19.5">
      <c r="A477" s="101"/>
      <c r="B477" s="248"/>
      <c r="C477" s="249"/>
      <c r="D477" s="249"/>
      <c r="E477" s="249"/>
      <c r="F477" s="250"/>
    </row>
    <row r="478" spans="1:6" ht="19.5">
      <c r="A478" s="101"/>
      <c r="B478" s="248"/>
      <c r="C478" s="249"/>
      <c r="D478" s="249"/>
      <c r="E478" s="249"/>
      <c r="F478" s="250"/>
    </row>
    <row r="479" spans="1:6" ht="19.5">
      <c r="A479" s="101"/>
      <c r="B479" s="248"/>
      <c r="C479" s="249"/>
      <c r="D479" s="249"/>
      <c r="E479" s="249"/>
      <c r="F479" s="250"/>
    </row>
    <row r="480" spans="1:6" ht="19.5">
      <c r="A480" s="101"/>
      <c r="B480" s="248"/>
      <c r="C480" s="249"/>
      <c r="D480" s="249"/>
      <c r="E480" s="249"/>
      <c r="F480" s="250"/>
    </row>
    <row r="481" spans="1:6" ht="19.5">
      <c r="A481" s="101"/>
      <c r="B481" s="248"/>
      <c r="C481" s="249"/>
      <c r="D481" s="249"/>
      <c r="E481" s="249"/>
      <c r="F481" s="250"/>
    </row>
    <row r="482" spans="1:6" ht="19.5">
      <c r="A482" s="101"/>
      <c r="B482" s="248"/>
      <c r="C482" s="249"/>
      <c r="D482" s="249"/>
      <c r="E482" s="249"/>
      <c r="F482" s="250"/>
    </row>
    <row r="483" spans="1:6" ht="19.5">
      <c r="A483" s="101"/>
      <c r="B483" s="248"/>
      <c r="C483" s="249"/>
      <c r="D483" s="249"/>
      <c r="E483" s="249"/>
      <c r="F483" s="250"/>
    </row>
    <row r="484" spans="1:6" ht="19.5">
      <c r="A484" s="101"/>
      <c r="B484" s="248"/>
      <c r="C484" s="249"/>
      <c r="D484" s="249"/>
      <c r="E484" s="249"/>
      <c r="F484" s="250"/>
    </row>
    <row r="485" spans="1:6" ht="19.5">
      <c r="A485" s="101"/>
      <c r="B485" s="248"/>
      <c r="C485" s="249"/>
      <c r="D485" s="249"/>
      <c r="E485" s="249"/>
      <c r="F485" s="250"/>
    </row>
    <row r="486" spans="1:6" ht="19.5">
      <c r="A486" s="101"/>
      <c r="B486" s="248"/>
      <c r="C486" s="249"/>
      <c r="D486" s="249"/>
      <c r="E486" s="249"/>
      <c r="F486" s="250"/>
    </row>
    <row r="487" spans="1:6" ht="19.5">
      <c r="A487" s="101"/>
      <c r="B487" s="248"/>
      <c r="C487" s="249"/>
      <c r="D487" s="249"/>
      <c r="E487" s="249"/>
      <c r="F487" s="250"/>
    </row>
    <row r="488" spans="1:6" ht="19.5">
      <c r="A488" s="101"/>
      <c r="B488" s="248"/>
      <c r="C488" s="249"/>
      <c r="D488" s="249"/>
      <c r="E488" s="249"/>
      <c r="F488" s="250"/>
    </row>
    <row r="489" spans="1:6" ht="19.5">
      <c r="A489" s="101"/>
      <c r="B489" s="248"/>
      <c r="C489" s="249"/>
      <c r="D489" s="249"/>
      <c r="E489" s="249"/>
      <c r="F489" s="250"/>
    </row>
    <row r="490" spans="1:6" ht="19.5">
      <c r="A490" s="101"/>
      <c r="B490" s="248"/>
      <c r="C490" s="249"/>
      <c r="D490" s="249"/>
      <c r="E490" s="249"/>
      <c r="F490" s="250"/>
    </row>
    <row r="491" spans="1:6" ht="19.5">
      <c r="A491" s="101"/>
      <c r="B491" s="248"/>
      <c r="C491" s="249"/>
      <c r="D491" s="249"/>
      <c r="E491" s="249"/>
      <c r="F491" s="250"/>
    </row>
    <row r="492" spans="1:6" ht="19.5">
      <c r="A492" s="101"/>
      <c r="B492" s="248"/>
      <c r="C492" s="249"/>
      <c r="D492" s="249"/>
      <c r="E492" s="249"/>
      <c r="F492" s="250"/>
    </row>
    <row r="493" spans="1:6" ht="19.5">
      <c r="A493" s="101"/>
      <c r="B493" s="248"/>
      <c r="C493" s="249"/>
      <c r="D493" s="249"/>
      <c r="E493" s="249"/>
      <c r="F493" s="250"/>
    </row>
    <row r="494" spans="1:6" ht="19.5">
      <c r="A494" s="101"/>
      <c r="B494" s="248"/>
      <c r="C494" s="249"/>
      <c r="D494" s="249"/>
      <c r="E494" s="249"/>
      <c r="F494" s="250"/>
    </row>
    <row r="495" spans="1:6" ht="19.5">
      <c r="A495" s="101"/>
      <c r="B495" s="248"/>
      <c r="C495" s="249"/>
      <c r="D495" s="249"/>
      <c r="E495" s="249"/>
      <c r="F495" s="250"/>
    </row>
    <row r="496" spans="1:6" ht="19.5">
      <c r="A496" s="101"/>
      <c r="B496" s="248"/>
      <c r="C496" s="249"/>
      <c r="D496" s="249"/>
      <c r="E496" s="249"/>
      <c r="F496" s="250"/>
    </row>
    <row r="497" spans="1:6" ht="19.5">
      <c r="A497" s="101"/>
      <c r="B497" s="248"/>
      <c r="C497" s="249"/>
      <c r="D497" s="249"/>
      <c r="E497" s="249"/>
      <c r="F497" s="250"/>
    </row>
    <row r="498" spans="1:6" ht="19.5">
      <c r="A498" s="101"/>
      <c r="B498" s="248"/>
      <c r="C498" s="249"/>
      <c r="D498" s="249"/>
      <c r="E498" s="249"/>
      <c r="F498" s="250"/>
    </row>
    <row r="499" spans="1:6" ht="19.5">
      <c r="A499" s="101"/>
      <c r="B499" s="248"/>
      <c r="C499" s="249"/>
      <c r="D499" s="249"/>
      <c r="E499" s="249"/>
      <c r="F499" s="250"/>
    </row>
    <row r="500" spans="1:6" ht="19.5">
      <c r="A500" s="101"/>
      <c r="B500" s="248"/>
      <c r="C500" s="249"/>
      <c r="D500" s="249"/>
      <c r="E500" s="249"/>
      <c r="F500" s="250"/>
    </row>
    <row r="501" spans="1:6" ht="19.5">
      <c r="A501" s="101"/>
      <c r="B501" s="248"/>
      <c r="C501" s="249"/>
      <c r="D501" s="249"/>
      <c r="E501" s="249"/>
      <c r="F501" s="250"/>
    </row>
    <row r="502" spans="1:6" ht="19.5">
      <c r="A502" s="101"/>
      <c r="B502" s="248"/>
      <c r="C502" s="249"/>
      <c r="D502" s="249"/>
      <c r="E502" s="249"/>
      <c r="F502" s="250"/>
    </row>
    <row r="503" spans="1:6" ht="19.5">
      <c r="A503" s="101"/>
      <c r="B503" s="248"/>
      <c r="C503" s="249"/>
      <c r="D503" s="249"/>
      <c r="E503" s="249"/>
      <c r="F503" s="250"/>
    </row>
    <row r="504" spans="1:6" ht="19.5">
      <c r="A504" s="101"/>
      <c r="B504" s="248"/>
      <c r="C504" s="249"/>
      <c r="D504" s="249"/>
      <c r="E504" s="249"/>
      <c r="F504" s="250"/>
    </row>
    <row r="505" spans="1:6" ht="19.5">
      <c r="A505" s="101"/>
      <c r="B505" s="248"/>
      <c r="C505" s="249"/>
      <c r="D505" s="249"/>
      <c r="E505" s="249"/>
      <c r="F505" s="250"/>
    </row>
    <row r="506" spans="1:6" ht="19.5">
      <c r="A506" s="101"/>
      <c r="B506" s="248"/>
      <c r="C506" s="249"/>
      <c r="D506" s="249"/>
      <c r="E506" s="249"/>
      <c r="F506" s="250"/>
    </row>
    <row r="507" spans="1:6" ht="19.5">
      <c r="A507" s="101"/>
      <c r="B507" s="248"/>
      <c r="C507" s="249"/>
      <c r="D507" s="249"/>
      <c r="E507" s="249"/>
      <c r="F507" s="250"/>
    </row>
    <row r="508" spans="1:6" ht="19.5">
      <c r="A508" s="101"/>
      <c r="B508" s="248"/>
      <c r="C508" s="249"/>
      <c r="D508" s="249"/>
      <c r="E508" s="249"/>
      <c r="F508" s="250"/>
    </row>
    <row r="509" spans="1:6" ht="19.5">
      <c r="A509" s="101"/>
      <c r="B509" s="248"/>
      <c r="C509" s="249"/>
      <c r="D509" s="249"/>
      <c r="E509" s="249"/>
      <c r="F509" s="250"/>
    </row>
    <row r="510" spans="1:6" ht="19.5">
      <c r="A510" s="101"/>
      <c r="B510" s="248"/>
      <c r="C510" s="249"/>
      <c r="D510" s="249"/>
      <c r="E510" s="249"/>
      <c r="F510" s="250"/>
    </row>
    <row r="511" spans="1:6" ht="19.5">
      <c r="A511" s="101"/>
      <c r="B511" s="248"/>
      <c r="C511" s="249"/>
      <c r="D511" s="249"/>
      <c r="E511" s="249"/>
      <c r="F511" s="250"/>
    </row>
    <row r="512" spans="1:6" ht="19.5">
      <c r="A512" s="101"/>
      <c r="B512" s="248"/>
      <c r="C512" s="249"/>
      <c r="D512" s="249"/>
      <c r="E512" s="249"/>
      <c r="F512" s="250"/>
    </row>
    <row r="513" spans="1:6" ht="19.5">
      <c r="A513" s="101"/>
      <c r="B513" s="248"/>
      <c r="C513" s="249"/>
      <c r="D513" s="249"/>
      <c r="E513" s="249"/>
      <c r="F513" s="250"/>
    </row>
    <row r="514" spans="1:6" ht="19.5">
      <c r="A514" s="101"/>
      <c r="B514" s="248"/>
      <c r="C514" s="249"/>
      <c r="D514" s="249"/>
      <c r="E514" s="249"/>
      <c r="F514" s="250"/>
    </row>
    <row r="515" spans="1:6" ht="19.5">
      <c r="A515" s="101"/>
      <c r="B515" s="248"/>
      <c r="C515" s="249"/>
      <c r="D515" s="249"/>
      <c r="E515" s="249"/>
      <c r="F515" s="250"/>
    </row>
    <row r="516" spans="1:6" ht="19.5">
      <c r="A516" s="101"/>
      <c r="B516" s="248"/>
      <c r="C516" s="249"/>
      <c r="D516" s="249"/>
      <c r="E516" s="249"/>
      <c r="F516" s="250"/>
    </row>
    <row r="517" spans="1:6" ht="19.5">
      <c r="A517" s="101"/>
      <c r="B517" s="248"/>
      <c r="C517" s="249"/>
      <c r="D517" s="249"/>
      <c r="E517" s="249"/>
      <c r="F517" s="250"/>
    </row>
    <row r="518" spans="1:6" ht="19.5">
      <c r="A518" s="101"/>
      <c r="B518" s="248"/>
      <c r="C518" s="249"/>
      <c r="D518" s="249"/>
      <c r="E518" s="249"/>
      <c r="F518" s="250"/>
    </row>
    <row r="519" spans="1:6" ht="19.5">
      <c r="A519" s="101"/>
      <c r="B519" s="248"/>
      <c r="C519" s="249"/>
      <c r="D519" s="249"/>
      <c r="E519" s="249"/>
      <c r="F519" s="250"/>
    </row>
    <row r="520" spans="1:6" ht="19.5">
      <c r="A520" s="101"/>
      <c r="B520" s="248"/>
      <c r="C520" s="249"/>
      <c r="D520" s="249"/>
      <c r="E520" s="249"/>
      <c r="F520" s="250"/>
    </row>
    <row r="521" spans="1:6" ht="19.5">
      <c r="A521" s="101"/>
      <c r="B521" s="248"/>
      <c r="C521" s="249"/>
      <c r="D521" s="249"/>
      <c r="E521" s="249"/>
      <c r="F521" s="250"/>
    </row>
    <row r="522" spans="1:6" ht="19.5">
      <c r="A522" s="101"/>
      <c r="B522" s="248"/>
      <c r="C522" s="249"/>
      <c r="D522" s="249"/>
      <c r="E522" s="249"/>
      <c r="F522" s="250"/>
    </row>
    <row r="523" spans="1:6" ht="19.5">
      <c r="A523" s="101"/>
      <c r="B523" s="248"/>
      <c r="C523" s="249"/>
      <c r="D523" s="249"/>
      <c r="E523" s="249"/>
      <c r="F523" s="250"/>
    </row>
    <row r="524" spans="1:6" ht="19.5">
      <c r="A524" s="101"/>
      <c r="B524" s="248"/>
      <c r="C524" s="249"/>
      <c r="D524" s="249"/>
      <c r="E524" s="249"/>
      <c r="F524" s="250"/>
    </row>
    <row r="525" spans="1:6" ht="19.5">
      <c r="A525" s="101"/>
      <c r="B525" s="248"/>
      <c r="C525" s="249"/>
      <c r="D525" s="249"/>
      <c r="E525" s="249"/>
      <c r="F525" s="250"/>
    </row>
    <row r="526" spans="1:6" ht="19.5">
      <c r="A526" s="101"/>
      <c r="B526" s="248"/>
      <c r="C526" s="249"/>
      <c r="D526" s="249"/>
      <c r="E526" s="249"/>
      <c r="F526" s="250"/>
    </row>
    <row r="527" spans="1:6" ht="19.5">
      <c r="A527" s="101"/>
      <c r="B527" s="248"/>
      <c r="C527" s="249"/>
      <c r="D527" s="249"/>
      <c r="E527" s="249"/>
      <c r="F527" s="250"/>
    </row>
    <row r="528" spans="1:6" ht="19.5">
      <c r="A528" s="101"/>
      <c r="B528" s="248"/>
      <c r="C528" s="249"/>
      <c r="D528" s="249"/>
      <c r="E528" s="249"/>
      <c r="F528" s="250"/>
    </row>
    <row r="529" spans="1:6" ht="19.5">
      <c r="A529" s="101"/>
      <c r="B529" s="248"/>
      <c r="C529" s="249"/>
      <c r="D529" s="249"/>
      <c r="E529" s="249"/>
      <c r="F529" s="250"/>
    </row>
    <row r="530" spans="1:6" ht="19.5">
      <c r="A530" s="101"/>
      <c r="B530" s="248"/>
      <c r="C530" s="249"/>
      <c r="D530" s="249"/>
      <c r="E530" s="249"/>
      <c r="F530" s="250"/>
    </row>
    <row r="531" spans="1:6" ht="19.5">
      <c r="A531" s="101"/>
      <c r="B531" s="248"/>
      <c r="C531" s="249"/>
      <c r="D531" s="249"/>
      <c r="E531" s="249"/>
      <c r="F531" s="250"/>
    </row>
    <row r="532" spans="1:6" ht="19.5">
      <c r="A532" s="101"/>
      <c r="B532" s="248"/>
      <c r="C532" s="249"/>
      <c r="D532" s="249"/>
      <c r="E532" s="249"/>
      <c r="F532" s="250"/>
    </row>
    <row r="533" spans="1:6" ht="19.5">
      <c r="A533" s="101"/>
      <c r="B533" s="248"/>
      <c r="C533" s="249"/>
      <c r="D533" s="249"/>
      <c r="E533" s="249"/>
      <c r="F533" s="250"/>
    </row>
    <row r="534" spans="1:6" ht="19.5">
      <c r="A534" s="101"/>
      <c r="B534" s="248"/>
      <c r="C534" s="249"/>
      <c r="D534" s="249"/>
      <c r="E534" s="249"/>
      <c r="F534" s="250"/>
    </row>
    <row r="535" spans="1:6" ht="19.5">
      <c r="A535" s="101"/>
      <c r="B535" s="248"/>
      <c r="C535" s="249"/>
      <c r="D535" s="249"/>
      <c r="E535" s="249"/>
      <c r="F535" s="250"/>
    </row>
    <row r="536" spans="1:6" ht="19.5">
      <c r="A536" s="101"/>
      <c r="B536" s="248"/>
      <c r="C536" s="249"/>
      <c r="D536" s="249"/>
      <c r="E536" s="249"/>
      <c r="F536" s="250"/>
    </row>
    <row r="537" spans="1:6" ht="19.5">
      <c r="A537" s="101"/>
      <c r="B537" s="248"/>
      <c r="C537" s="249"/>
      <c r="D537" s="249"/>
      <c r="E537" s="249"/>
      <c r="F537" s="250"/>
    </row>
    <row r="538" spans="1:6" ht="19.5">
      <c r="A538" s="101"/>
      <c r="B538" s="248"/>
      <c r="C538" s="249"/>
      <c r="D538" s="249"/>
      <c r="E538" s="249"/>
      <c r="F538" s="250"/>
    </row>
    <row r="539" spans="1:6" ht="19.5">
      <c r="A539" s="101"/>
      <c r="B539" s="248"/>
      <c r="C539" s="249"/>
      <c r="D539" s="249"/>
      <c r="E539" s="249"/>
      <c r="F539" s="250"/>
    </row>
    <row r="540" spans="1:6" ht="19.5">
      <c r="A540" s="101"/>
      <c r="B540" s="248"/>
      <c r="C540" s="249"/>
      <c r="D540" s="249"/>
      <c r="E540" s="249"/>
      <c r="F540" s="250"/>
    </row>
    <row r="541" spans="1:6" ht="19.5">
      <c r="A541" s="101"/>
      <c r="B541" s="248"/>
      <c r="C541" s="249"/>
      <c r="D541" s="249"/>
      <c r="E541" s="249"/>
      <c r="F541" s="250"/>
    </row>
    <row r="542" spans="1:6" ht="19.5">
      <c r="A542" s="101"/>
      <c r="B542" s="248"/>
      <c r="C542" s="249"/>
      <c r="D542" s="249"/>
      <c r="E542" s="249"/>
      <c r="F542" s="250"/>
    </row>
    <row r="543" spans="1:6" ht="19.5">
      <c r="A543" s="101"/>
      <c r="B543" s="248"/>
      <c r="C543" s="249"/>
      <c r="D543" s="249"/>
      <c r="E543" s="249"/>
      <c r="F543" s="250"/>
    </row>
    <row r="544" spans="1:6" ht="19.5">
      <c r="A544" s="101"/>
      <c r="B544" s="248"/>
      <c r="C544" s="249"/>
      <c r="D544" s="249"/>
      <c r="E544" s="249"/>
      <c r="F544" s="250"/>
    </row>
    <row r="545" spans="1:6" ht="19.5">
      <c r="A545" s="101"/>
      <c r="B545" s="248"/>
      <c r="C545" s="249"/>
      <c r="D545" s="249"/>
      <c r="E545" s="249"/>
      <c r="F545" s="250"/>
    </row>
    <row r="546" spans="1:6" ht="19.5">
      <c r="A546" s="101"/>
      <c r="B546" s="248"/>
      <c r="C546" s="249"/>
      <c r="D546" s="249"/>
      <c r="E546" s="249"/>
      <c r="F546" s="250"/>
    </row>
    <row r="547" spans="1:6" ht="19.5">
      <c r="A547" s="101"/>
      <c r="B547" s="248"/>
      <c r="C547" s="249"/>
      <c r="D547" s="249"/>
      <c r="E547" s="249"/>
      <c r="F547" s="250"/>
    </row>
    <row r="548" spans="1:6" ht="19.5">
      <c r="A548" s="101"/>
      <c r="B548" s="248"/>
      <c r="C548" s="249"/>
      <c r="D548" s="249"/>
      <c r="E548" s="249"/>
      <c r="F548" s="250"/>
    </row>
    <row r="549" spans="1:6" ht="19.5">
      <c r="A549" s="101"/>
      <c r="B549" s="248"/>
      <c r="C549" s="249"/>
      <c r="D549" s="249"/>
      <c r="E549" s="249"/>
      <c r="F549" s="250"/>
    </row>
    <row r="550" spans="1:6" ht="19.5">
      <c r="A550" s="101"/>
      <c r="B550" s="248"/>
      <c r="C550" s="249"/>
      <c r="D550" s="249"/>
      <c r="E550" s="249"/>
      <c r="F550" s="250"/>
    </row>
    <row r="551" spans="1:6" ht="19.5">
      <c r="A551" s="101"/>
      <c r="B551" s="248"/>
      <c r="C551" s="249"/>
      <c r="D551" s="249"/>
      <c r="E551" s="249"/>
      <c r="F551" s="250"/>
    </row>
    <row r="552" spans="1:6" ht="19.5">
      <c r="A552" s="101"/>
      <c r="B552" s="248"/>
      <c r="C552" s="249"/>
      <c r="D552" s="249"/>
      <c r="E552" s="249"/>
      <c r="F552" s="250"/>
    </row>
    <row r="553" spans="1:6" ht="19.5">
      <c r="A553" s="101"/>
      <c r="B553" s="248"/>
      <c r="C553" s="249"/>
      <c r="D553" s="249"/>
      <c r="E553" s="249"/>
      <c r="F553" s="250"/>
    </row>
    <row r="554" spans="1:6" ht="19.5">
      <c r="A554" s="101"/>
      <c r="B554" s="248"/>
      <c r="C554" s="249"/>
      <c r="D554" s="249"/>
      <c r="E554" s="249"/>
      <c r="F554" s="250"/>
    </row>
    <row r="555" spans="1:6" ht="19.5">
      <c r="A555" s="101"/>
      <c r="B555" s="248"/>
      <c r="C555" s="249"/>
      <c r="D555" s="249"/>
      <c r="E555" s="249"/>
      <c r="F555" s="250"/>
    </row>
    <row r="556" spans="1:6" ht="19.5">
      <c r="A556" s="101"/>
      <c r="B556" s="248"/>
      <c r="C556" s="249"/>
      <c r="D556" s="249"/>
      <c r="E556" s="249"/>
      <c r="F556" s="250"/>
    </row>
    <row r="557" spans="1:6" ht="19.5">
      <c r="A557" s="101"/>
      <c r="B557" s="248"/>
      <c r="C557" s="249"/>
      <c r="D557" s="249"/>
      <c r="E557" s="249"/>
      <c r="F557" s="250"/>
    </row>
    <row r="558" spans="1:6" ht="19.5">
      <c r="A558" s="101"/>
      <c r="B558" s="248"/>
      <c r="C558" s="249"/>
      <c r="D558" s="249"/>
      <c r="E558" s="249"/>
      <c r="F558" s="250"/>
    </row>
    <row r="559" spans="1:6" ht="19.5">
      <c r="A559" s="101"/>
      <c r="B559" s="248"/>
      <c r="C559" s="249"/>
      <c r="D559" s="249"/>
      <c r="E559" s="249"/>
      <c r="F559" s="250"/>
    </row>
    <row r="560" spans="1:6" ht="19.5">
      <c r="A560" s="101"/>
      <c r="B560" s="248"/>
      <c r="C560" s="249"/>
      <c r="D560" s="249"/>
      <c r="E560" s="249"/>
      <c r="F560" s="250"/>
    </row>
    <row r="561" spans="1:6" ht="19.5">
      <c r="A561" s="101"/>
      <c r="B561" s="248"/>
      <c r="C561" s="249"/>
      <c r="D561" s="249"/>
      <c r="E561" s="249"/>
      <c r="F561" s="250"/>
    </row>
    <row r="562" spans="1:6" ht="19.5">
      <c r="A562" s="101"/>
      <c r="B562" s="248"/>
      <c r="C562" s="249"/>
      <c r="D562" s="249"/>
      <c r="E562" s="249"/>
      <c r="F562" s="250"/>
    </row>
    <row r="563" spans="1:6" ht="19.5">
      <c r="A563" s="101"/>
      <c r="B563" s="248"/>
      <c r="C563" s="249"/>
      <c r="D563" s="249"/>
      <c r="E563" s="249"/>
      <c r="F563" s="250"/>
    </row>
    <row r="564" spans="1:6" ht="19.5">
      <c r="A564" s="101"/>
      <c r="B564" s="248"/>
      <c r="C564" s="249"/>
      <c r="D564" s="249"/>
      <c r="E564" s="249"/>
      <c r="F564" s="250"/>
    </row>
    <row r="565" spans="1:6" ht="19.5">
      <c r="A565" s="101"/>
      <c r="B565" s="248"/>
      <c r="C565" s="249"/>
      <c r="D565" s="249"/>
      <c r="E565" s="249"/>
      <c r="F565" s="250"/>
    </row>
    <row r="566" spans="1:6" ht="19.5">
      <c r="A566" s="101"/>
      <c r="B566" s="248"/>
      <c r="C566" s="249"/>
      <c r="D566" s="249"/>
      <c r="E566" s="249"/>
      <c r="F566" s="250"/>
    </row>
    <row r="567" spans="1:6" ht="19.5">
      <c r="A567" s="101"/>
      <c r="B567" s="248"/>
      <c r="C567" s="249"/>
      <c r="D567" s="249"/>
      <c r="E567" s="249"/>
      <c r="F567" s="250"/>
    </row>
    <row r="568" spans="1:6" ht="19.5">
      <c r="A568" s="101"/>
      <c r="B568" s="248"/>
      <c r="C568" s="249"/>
      <c r="D568" s="249"/>
      <c r="E568" s="249"/>
      <c r="F568" s="250"/>
    </row>
    <row r="569" spans="1:6" ht="19.5">
      <c r="A569" s="101"/>
      <c r="B569" s="248"/>
      <c r="C569" s="249"/>
      <c r="D569" s="249"/>
      <c r="E569" s="249"/>
      <c r="F569" s="250"/>
    </row>
    <row r="570" spans="1:6" ht="19.5">
      <c r="A570" s="101"/>
      <c r="B570" s="248"/>
      <c r="C570" s="249"/>
      <c r="D570" s="249"/>
      <c r="E570" s="249"/>
      <c r="F570" s="250"/>
    </row>
    <row r="571" spans="1:6" ht="19.5">
      <c r="A571" s="101"/>
      <c r="B571" s="248"/>
      <c r="C571" s="249"/>
      <c r="D571" s="249"/>
      <c r="E571" s="249"/>
      <c r="F571" s="250"/>
    </row>
    <row r="572" spans="1:6" ht="19.5">
      <c r="A572" s="101"/>
      <c r="B572" s="248"/>
      <c r="C572" s="249"/>
      <c r="D572" s="249"/>
      <c r="E572" s="249"/>
      <c r="F572" s="250"/>
    </row>
    <row r="573" spans="1:6" ht="19.5">
      <c r="A573" s="101"/>
      <c r="B573" s="248"/>
      <c r="C573" s="249"/>
      <c r="D573" s="249"/>
      <c r="E573" s="249"/>
      <c r="F573" s="250"/>
    </row>
    <row r="574" spans="1:6" ht="19.5">
      <c r="A574" s="101"/>
      <c r="B574" s="248"/>
      <c r="C574" s="249"/>
      <c r="D574" s="249"/>
      <c r="E574" s="249"/>
      <c r="F574" s="250"/>
    </row>
    <row r="575" spans="1:6" ht="19.5">
      <c r="A575" s="101"/>
      <c r="B575" s="248"/>
      <c r="C575" s="249"/>
      <c r="D575" s="249"/>
      <c r="E575" s="249"/>
      <c r="F575" s="250"/>
    </row>
    <row r="576" spans="1:6" ht="19.5">
      <c r="A576" s="101"/>
      <c r="B576" s="248"/>
      <c r="C576" s="249"/>
      <c r="D576" s="249"/>
      <c r="E576" s="249"/>
      <c r="F576" s="250"/>
    </row>
    <row r="577" spans="1:6" ht="19.5">
      <c r="A577" s="101"/>
      <c r="B577" s="248"/>
      <c r="C577" s="249"/>
      <c r="D577" s="249"/>
      <c r="E577" s="249"/>
      <c r="F577" s="250"/>
    </row>
    <row r="578" spans="1:6" ht="19.5">
      <c r="A578" s="101"/>
      <c r="B578" s="248"/>
      <c r="C578" s="249"/>
      <c r="D578" s="249"/>
      <c r="E578" s="249"/>
      <c r="F578" s="250"/>
    </row>
    <row r="579" spans="1:6" ht="19.5">
      <c r="A579" s="101"/>
      <c r="B579" s="248"/>
      <c r="C579" s="249"/>
      <c r="D579" s="249"/>
      <c r="E579" s="249"/>
      <c r="F579" s="250"/>
    </row>
    <row r="580" spans="1:6" ht="19.5">
      <c r="A580" s="101"/>
      <c r="B580" s="248"/>
      <c r="C580" s="249"/>
      <c r="D580" s="249"/>
      <c r="E580" s="249"/>
      <c r="F580" s="250"/>
    </row>
    <row r="581" spans="1:6" ht="19.5">
      <c r="A581" s="101"/>
      <c r="B581" s="248"/>
      <c r="C581" s="249"/>
      <c r="D581" s="249"/>
      <c r="E581" s="249"/>
      <c r="F581" s="250"/>
    </row>
    <row r="582" spans="1:6" ht="19.5">
      <c r="A582" s="101"/>
      <c r="B582" s="248"/>
      <c r="C582" s="249"/>
      <c r="D582" s="249"/>
      <c r="E582" s="249"/>
      <c r="F582" s="250"/>
    </row>
    <row r="583" spans="1:6" ht="19.5">
      <c r="A583" s="101"/>
      <c r="B583" s="248"/>
      <c r="C583" s="249"/>
      <c r="D583" s="249"/>
      <c r="E583" s="249"/>
      <c r="F583" s="250"/>
    </row>
    <row r="584" spans="1:6" ht="19.5">
      <c r="A584" s="101"/>
      <c r="B584" s="248"/>
      <c r="C584" s="249"/>
      <c r="D584" s="249"/>
      <c r="E584" s="249"/>
      <c r="F584" s="250"/>
    </row>
    <row r="585" spans="1:6" ht="19.5">
      <c r="A585" s="101"/>
      <c r="B585" s="248"/>
      <c r="C585" s="249"/>
      <c r="D585" s="249"/>
      <c r="E585" s="249"/>
      <c r="F585" s="250"/>
    </row>
    <row r="586" spans="1:6" ht="19.5">
      <c r="A586" s="101"/>
      <c r="B586" s="248"/>
      <c r="C586" s="249"/>
      <c r="D586" s="249"/>
      <c r="E586" s="249"/>
      <c r="F586" s="250"/>
    </row>
    <row r="587" spans="1:6" ht="19.5">
      <c r="A587" s="101"/>
      <c r="B587" s="248"/>
      <c r="C587" s="249"/>
      <c r="D587" s="249"/>
      <c r="E587" s="249"/>
      <c r="F587" s="250"/>
    </row>
    <row r="588" spans="1:6" ht="19.5">
      <c r="A588" s="101"/>
      <c r="B588" s="248"/>
      <c r="C588" s="249"/>
      <c r="D588" s="249"/>
      <c r="E588" s="249"/>
      <c r="F588" s="250"/>
    </row>
    <row r="589" spans="1:6" ht="19.5">
      <c r="A589" s="101"/>
      <c r="B589" s="248"/>
      <c r="C589" s="249"/>
      <c r="D589" s="249"/>
      <c r="E589" s="249"/>
      <c r="F589" s="250"/>
    </row>
    <row r="590" spans="1:6" ht="19.5">
      <c r="A590" s="101"/>
      <c r="B590" s="248"/>
      <c r="C590" s="249"/>
      <c r="D590" s="249"/>
      <c r="E590" s="249"/>
      <c r="F590" s="250"/>
    </row>
    <row r="591" spans="1:6" ht="19.5">
      <c r="A591" s="101"/>
      <c r="B591" s="248"/>
      <c r="C591" s="249"/>
      <c r="D591" s="249"/>
      <c r="E591" s="249"/>
      <c r="F591" s="250"/>
    </row>
    <row r="592" spans="1:6" ht="19.5">
      <c r="A592" s="101"/>
      <c r="B592" s="248"/>
      <c r="C592" s="249"/>
      <c r="D592" s="249"/>
      <c r="E592" s="249"/>
      <c r="F592" s="250"/>
    </row>
    <row r="593" spans="1:6" ht="19.5">
      <c r="A593" s="101"/>
      <c r="B593" s="248"/>
      <c r="C593" s="249"/>
      <c r="D593" s="249"/>
      <c r="E593" s="249"/>
      <c r="F593" s="250"/>
    </row>
    <row r="594" spans="1:6" ht="19.5">
      <c r="A594" s="101"/>
      <c r="B594" s="248"/>
      <c r="C594" s="249"/>
      <c r="D594" s="249"/>
      <c r="E594" s="249"/>
      <c r="F594" s="250"/>
    </row>
    <row r="595" spans="1:6" ht="19.5">
      <c r="A595" s="101"/>
      <c r="B595" s="248"/>
      <c r="C595" s="249"/>
      <c r="D595" s="249"/>
      <c r="E595" s="249"/>
      <c r="F595" s="250"/>
    </row>
    <row r="596" spans="1:6" ht="19.5">
      <c r="A596" s="101"/>
      <c r="B596" s="248"/>
      <c r="C596" s="249"/>
      <c r="D596" s="249"/>
      <c r="E596" s="249"/>
      <c r="F596" s="250"/>
    </row>
    <row r="597" spans="1:6" ht="19.5">
      <c r="A597" s="101"/>
      <c r="B597" s="248"/>
      <c r="C597" s="249"/>
      <c r="D597" s="249"/>
      <c r="E597" s="249"/>
      <c r="F597" s="250"/>
    </row>
    <row r="598" spans="1:6" ht="19.5">
      <c r="A598" s="101"/>
      <c r="B598" s="248"/>
      <c r="C598" s="249"/>
      <c r="D598" s="249"/>
      <c r="E598" s="249"/>
      <c r="F598" s="250"/>
    </row>
    <row r="599" spans="1:6" ht="19.5">
      <c r="A599" s="101"/>
      <c r="B599" s="248"/>
      <c r="C599" s="249"/>
      <c r="D599" s="249"/>
      <c r="E599" s="249"/>
      <c r="F599" s="250"/>
    </row>
    <row r="600" spans="1:6" ht="19.5">
      <c r="A600" s="101"/>
      <c r="B600" s="248"/>
      <c r="C600" s="249"/>
      <c r="D600" s="249"/>
      <c r="E600" s="249"/>
      <c r="F600" s="250"/>
    </row>
    <row r="601" spans="1:6" ht="19.5">
      <c r="A601" s="101"/>
      <c r="B601" s="248"/>
      <c r="C601" s="249"/>
      <c r="D601" s="249"/>
      <c r="E601" s="249"/>
      <c r="F601" s="250"/>
    </row>
    <row r="602" spans="1:6" ht="19.5">
      <c r="A602" s="101"/>
      <c r="B602" s="248"/>
      <c r="C602" s="249"/>
      <c r="D602" s="249"/>
      <c r="E602" s="249"/>
      <c r="F602" s="250"/>
    </row>
    <row r="603" spans="1:6" ht="19.5">
      <c r="A603" s="101"/>
      <c r="B603" s="248"/>
      <c r="C603" s="249"/>
      <c r="D603" s="249"/>
      <c r="E603" s="249"/>
      <c r="F603" s="250"/>
    </row>
    <row r="604" spans="1:6" ht="19.5">
      <c r="A604" s="101"/>
      <c r="B604" s="248"/>
      <c r="C604" s="249"/>
      <c r="D604" s="249"/>
      <c r="E604" s="249"/>
      <c r="F604" s="250"/>
    </row>
    <row r="605" spans="1:6" ht="19.5">
      <c r="A605" s="101"/>
      <c r="B605" s="248"/>
      <c r="C605" s="249"/>
      <c r="D605" s="249"/>
      <c r="E605" s="249"/>
      <c r="F605" s="250"/>
    </row>
    <row r="606" spans="1:6" ht="19.5">
      <c r="A606" s="101"/>
      <c r="B606" s="248"/>
      <c r="C606" s="249"/>
      <c r="D606" s="249"/>
      <c r="E606" s="249"/>
      <c r="F606" s="250"/>
    </row>
    <row r="607" spans="1:6" ht="19.5">
      <c r="A607" s="101"/>
      <c r="B607" s="248"/>
      <c r="C607" s="249"/>
      <c r="D607" s="249"/>
      <c r="E607" s="249"/>
      <c r="F607" s="250"/>
    </row>
    <row r="608" spans="1:6" ht="19.5">
      <c r="A608" s="101"/>
      <c r="B608" s="248"/>
      <c r="C608" s="249"/>
      <c r="D608" s="249"/>
      <c r="E608" s="249"/>
      <c r="F608" s="250"/>
    </row>
    <row r="609" spans="1:6" ht="19.5">
      <c r="A609" s="101"/>
      <c r="B609" s="248"/>
      <c r="C609" s="249"/>
      <c r="D609" s="249"/>
      <c r="E609" s="249"/>
      <c r="F609" s="250"/>
    </row>
    <row r="610" spans="1:6" ht="19.5">
      <c r="A610" s="101"/>
      <c r="B610" s="248"/>
      <c r="C610" s="249"/>
      <c r="D610" s="249"/>
      <c r="E610" s="249"/>
      <c r="F610" s="250"/>
    </row>
    <row r="611" spans="1:6" ht="19.5">
      <c r="A611" s="101"/>
      <c r="B611" s="248"/>
      <c r="C611" s="249"/>
      <c r="D611" s="249"/>
      <c r="E611" s="249"/>
      <c r="F611" s="250"/>
    </row>
    <row r="612" spans="1:6" ht="19.5">
      <c r="A612" s="101"/>
      <c r="B612" s="248"/>
      <c r="C612" s="249"/>
      <c r="D612" s="249"/>
      <c r="E612" s="249"/>
      <c r="F612" s="250"/>
    </row>
    <row r="613" spans="1:6" ht="19.5">
      <c r="A613" s="101"/>
      <c r="B613" s="248"/>
      <c r="C613" s="249"/>
      <c r="D613" s="249"/>
      <c r="E613" s="249"/>
      <c r="F613" s="250"/>
    </row>
    <row r="614" spans="1:6" ht="19.5">
      <c r="A614" s="101"/>
      <c r="B614" s="248"/>
      <c r="C614" s="249"/>
      <c r="D614" s="249"/>
      <c r="E614" s="249"/>
      <c r="F614" s="250"/>
    </row>
    <row r="615" spans="1:6" ht="19.5">
      <c r="A615" s="101"/>
      <c r="B615" s="248"/>
      <c r="C615" s="249"/>
      <c r="D615" s="249"/>
      <c r="E615" s="249"/>
      <c r="F615" s="250"/>
    </row>
    <row r="616" spans="1:6" ht="19.5">
      <c r="A616" s="101"/>
      <c r="B616" s="248"/>
      <c r="C616" s="249"/>
      <c r="D616" s="249"/>
      <c r="E616" s="249"/>
      <c r="F616" s="250"/>
    </row>
    <row r="617" spans="1:6" ht="19.5">
      <c r="A617" s="101"/>
      <c r="B617" s="248"/>
      <c r="C617" s="249"/>
      <c r="D617" s="249"/>
      <c r="E617" s="249"/>
      <c r="F617" s="250"/>
    </row>
    <row r="618" spans="1:6" ht="19.5">
      <c r="A618" s="101"/>
      <c r="B618" s="248"/>
      <c r="C618" s="249"/>
      <c r="D618" s="249"/>
      <c r="E618" s="249"/>
      <c r="F618" s="250"/>
    </row>
    <row r="619" spans="1:6" ht="19.5">
      <c r="A619" s="101"/>
      <c r="B619" s="248"/>
      <c r="C619" s="249"/>
      <c r="D619" s="249"/>
      <c r="E619" s="249"/>
      <c r="F619" s="250"/>
    </row>
    <row r="620" spans="1:6" ht="19.5">
      <c r="A620" s="101"/>
      <c r="B620" s="248"/>
      <c r="C620" s="249"/>
      <c r="D620" s="249"/>
      <c r="E620" s="249"/>
      <c r="F620" s="250"/>
    </row>
    <row r="621" spans="1:6" ht="19.5">
      <c r="A621" s="101"/>
      <c r="B621" s="248"/>
      <c r="C621" s="249"/>
      <c r="D621" s="249"/>
      <c r="E621" s="249"/>
      <c r="F621" s="250"/>
    </row>
    <row r="622" spans="1:6" ht="19.5">
      <c r="A622" s="101"/>
      <c r="B622" s="248"/>
      <c r="C622" s="249"/>
      <c r="D622" s="249"/>
      <c r="E622" s="249"/>
      <c r="F622" s="250"/>
    </row>
    <row r="623" spans="1:6" ht="19.5">
      <c r="A623" s="101"/>
      <c r="B623" s="248"/>
      <c r="C623" s="249"/>
      <c r="D623" s="249"/>
      <c r="E623" s="249"/>
      <c r="F623" s="250"/>
    </row>
    <row r="624" spans="1:6" ht="19.5">
      <c r="A624" s="101"/>
      <c r="B624" s="248"/>
      <c r="C624" s="249"/>
      <c r="D624" s="249"/>
      <c r="E624" s="249"/>
      <c r="F624" s="250"/>
    </row>
    <row r="625" spans="1:6" ht="19.5">
      <c r="A625" s="101"/>
      <c r="B625" s="248"/>
      <c r="C625" s="249"/>
      <c r="D625" s="249"/>
      <c r="E625" s="249"/>
      <c r="F625" s="250"/>
    </row>
    <row r="626" spans="1:6" ht="19.5">
      <c r="A626" s="101"/>
      <c r="B626" s="248"/>
      <c r="C626" s="249"/>
      <c r="D626" s="249"/>
      <c r="E626" s="249"/>
      <c r="F626" s="250"/>
    </row>
    <row r="627" spans="1:6" ht="19.5">
      <c r="A627" s="101"/>
      <c r="B627" s="248"/>
      <c r="C627" s="249"/>
      <c r="D627" s="249"/>
      <c r="E627" s="249"/>
      <c r="F627" s="250"/>
    </row>
    <row r="628" spans="1:6" ht="19.5">
      <c r="A628" s="101"/>
      <c r="B628" s="248"/>
      <c r="C628" s="249"/>
      <c r="D628" s="249"/>
      <c r="E628" s="249"/>
      <c r="F628" s="250"/>
    </row>
    <row r="629" spans="1:6" ht="19.5">
      <c r="A629" s="101"/>
      <c r="B629" s="248"/>
      <c r="C629" s="249"/>
      <c r="D629" s="249"/>
      <c r="E629" s="249"/>
      <c r="F629" s="250"/>
    </row>
    <row r="630" spans="1:6" ht="19.5">
      <c r="A630" s="101"/>
      <c r="B630" s="248"/>
      <c r="C630" s="249"/>
      <c r="D630" s="249"/>
      <c r="E630" s="249"/>
      <c r="F630" s="250"/>
    </row>
    <row r="631" spans="1:6" ht="19.5">
      <c r="A631" s="101"/>
      <c r="B631" s="248"/>
      <c r="C631" s="249"/>
      <c r="D631" s="249"/>
      <c r="E631" s="249"/>
      <c r="F631" s="250"/>
    </row>
    <row r="632" spans="1:6" ht="19.5">
      <c r="A632" s="101"/>
      <c r="B632" s="248"/>
      <c r="C632" s="249"/>
      <c r="D632" s="249"/>
      <c r="E632" s="249"/>
      <c r="F632" s="250"/>
    </row>
    <row r="633" spans="1:6" ht="19.5">
      <c r="A633" s="101"/>
      <c r="B633" s="248"/>
      <c r="C633" s="249"/>
      <c r="D633" s="249"/>
      <c r="E633" s="249"/>
      <c r="F633" s="250"/>
    </row>
    <row r="634" spans="1:6" ht="19.5">
      <c r="A634" s="101"/>
      <c r="B634" s="248"/>
      <c r="C634" s="249"/>
      <c r="D634" s="249"/>
      <c r="E634" s="249"/>
      <c r="F634" s="250"/>
    </row>
    <row r="635" spans="1:6" ht="19.5">
      <c r="A635" s="101"/>
      <c r="B635" s="248"/>
      <c r="C635" s="249"/>
      <c r="D635" s="249"/>
      <c r="E635" s="249"/>
      <c r="F635" s="250"/>
    </row>
    <row r="636" spans="1:6" ht="19.5">
      <c r="A636" s="101"/>
      <c r="B636" s="248"/>
      <c r="C636" s="249"/>
      <c r="D636" s="249"/>
      <c r="E636" s="249"/>
      <c r="F636" s="250"/>
    </row>
    <row r="637" spans="1:6" ht="19.5">
      <c r="A637" s="101"/>
      <c r="B637" s="248"/>
      <c r="C637" s="249"/>
      <c r="D637" s="249"/>
      <c r="E637" s="249"/>
      <c r="F637" s="250"/>
    </row>
    <row r="638" spans="1:6" ht="19.5">
      <c r="A638" s="101"/>
      <c r="B638" s="248"/>
      <c r="C638" s="249"/>
      <c r="D638" s="249"/>
      <c r="E638" s="249"/>
      <c r="F638" s="250"/>
    </row>
    <row r="639" spans="1:6" ht="19.5">
      <c r="A639" s="101"/>
      <c r="B639" s="248"/>
      <c r="C639" s="249"/>
      <c r="D639" s="249"/>
      <c r="E639" s="249"/>
      <c r="F639" s="250"/>
    </row>
    <row r="640" spans="1:6" ht="19.5">
      <c r="A640" s="101"/>
      <c r="B640" s="248"/>
      <c r="C640" s="249"/>
      <c r="D640" s="249"/>
      <c r="E640" s="249"/>
      <c r="F640" s="250"/>
    </row>
    <row r="641" spans="1:6" ht="19.5">
      <c r="A641" s="101"/>
      <c r="B641" s="248"/>
      <c r="C641" s="249"/>
      <c r="D641" s="249"/>
      <c r="E641" s="249"/>
      <c r="F641" s="250"/>
    </row>
    <row r="642" spans="1:6" ht="19.5">
      <c r="A642" s="101"/>
      <c r="B642" s="248"/>
      <c r="C642" s="249"/>
      <c r="D642" s="249"/>
      <c r="E642" s="249"/>
      <c r="F642" s="250"/>
    </row>
    <row r="643" spans="1:6" ht="19.5">
      <c r="A643" s="101"/>
      <c r="B643" s="248"/>
      <c r="C643" s="249"/>
      <c r="D643" s="249"/>
      <c r="E643" s="249"/>
      <c r="F643" s="250"/>
    </row>
    <row r="644" spans="1:6" ht="19.5">
      <c r="A644" s="101"/>
      <c r="B644" s="248"/>
      <c r="C644" s="249"/>
      <c r="D644" s="249"/>
      <c r="E644" s="249"/>
      <c r="F644" s="250"/>
    </row>
    <row r="645" spans="1:6" ht="19.5">
      <c r="A645" s="101"/>
      <c r="B645" s="248"/>
      <c r="C645" s="249"/>
      <c r="D645" s="249"/>
      <c r="E645" s="249"/>
      <c r="F645" s="250"/>
    </row>
    <row r="646" spans="1:6" ht="19.5">
      <c r="A646" s="101"/>
      <c r="B646" s="248"/>
      <c r="C646" s="249"/>
      <c r="D646" s="249"/>
      <c r="E646" s="249"/>
      <c r="F646" s="250"/>
    </row>
    <row r="647" spans="1:6" ht="19.5">
      <c r="A647" s="101"/>
      <c r="B647" s="248"/>
      <c r="C647" s="249"/>
      <c r="D647" s="249"/>
      <c r="E647" s="249"/>
      <c r="F647" s="250"/>
    </row>
    <row r="648" spans="1:6" ht="19.5">
      <c r="A648" s="101"/>
      <c r="B648" s="248"/>
      <c r="C648" s="249"/>
      <c r="D648" s="249"/>
      <c r="E648" s="249"/>
      <c r="F648" s="250"/>
    </row>
    <row r="649" spans="1:6" ht="19.5">
      <c r="A649" s="101"/>
      <c r="B649" s="248"/>
      <c r="C649" s="249"/>
      <c r="D649" s="249"/>
      <c r="E649" s="249"/>
      <c r="F649" s="250"/>
    </row>
    <row r="650" spans="1:6" ht="19.5">
      <c r="A650" s="101"/>
      <c r="B650" s="248"/>
      <c r="C650" s="249"/>
      <c r="D650" s="249"/>
      <c r="E650" s="249"/>
      <c r="F650" s="250"/>
    </row>
    <row r="651" spans="1:6" ht="19.5">
      <c r="A651" s="101"/>
      <c r="B651" s="248"/>
      <c r="C651" s="249"/>
      <c r="D651" s="249"/>
      <c r="E651" s="249"/>
      <c r="F651" s="250"/>
    </row>
    <row r="652" spans="1:6" ht="19.5">
      <c r="A652" s="101"/>
      <c r="B652" s="248"/>
      <c r="C652" s="249"/>
      <c r="D652" s="249"/>
      <c r="E652" s="249"/>
      <c r="F652" s="250"/>
    </row>
    <row r="653" spans="1:6" ht="19.5">
      <c r="A653" s="101"/>
      <c r="B653" s="248"/>
      <c r="C653" s="249"/>
      <c r="D653" s="249"/>
      <c r="E653" s="249"/>
      <c r="F653" s="250"/>
    </row>
    <row r="654" spans="1:6" ht="19.5">
      <c r="A654" s="101"/>
      <c r="B654" s="248"/>
      <c r="C654" s="249"/>
      <c r="D654" s="249"/>
      <c r="E654" s="249"/>
      <c r="F654" s="250"/>
    </row>
    <row r="655" spans="1:6" ht="19.5">
      <c r="A655" s="101"/>
      <c r="B655" s="248"/>
      <c r="C655" s="249"/>
      <c r="D655" s="249"/>
      <c r="E655" s="249"/>
      <c r="F655" s="250"/>
    </row>
    <row r="656" spans="1:6" ht="19.5">
      <c r="A656" s="101"/>
      <c r="B656" s="248"/>
      <c r="C656" s="249"/>
      <c r="D656" s="249"/>
      <c r="E656" s="249"/>
      <c r="F656" s="250"/>
    </row>
    <row r="657" spans="1:6" ht="19.5">
      <c r="A657" s="101"/>
      <c r="B657" s="248"/>
      <c r="C657" s="249"/>
      <c r="D657" s="249"/>
      <c r="E657" s="249"/>
      <c r="F657" s="250"/>
    </row>
    <row r="658" spans="1:6" ht="19.5">
      <c r="A658" s="101"/>
      <c r="B658" s="248"/>
      <c r="C658" s="249"/>
      <c r="D658" s="249"/>
      <c r="E658" s="249"/>
      <c r="F658" s="250"/>
    </row>
    <row r="659" spans="1:6" ht="19.5">
      <c r="A659" s="101"/>
      <c r="B659" s="248"/>
      <c r="C659" s="249"/>
      <c r="D659" s="249"/>
      <c r="E659" s="249"/>
      <c r="F659" s="250"/>
    </row>
    <row r="660" spans="1:6" ht="19.5">
      <c r="A660" s="101"/>
      <c r="B660" s="248"/>
      <c r="C660" s="249"/>
      <c r="D660" s="249"/>
      <c r="E660" s="249"/>
      <c r="F660" s="250"/>
    </row>
    <row r="661" spans="1:6" ht="19.5">
      <c r="A661" s="101"/>
      <c r="B661" s="248"/>
      <c r="C661" s="249"/>
      <c r="D661" s="249"/>
      <c r="E661" s="249"/>
      <c r="F661" s="250"/>
    </row>
    <row r="662" spans="1:6" ht="19.5">
      <c r="A662" s="101"/>
      <c r="B662" s="248"/>
      <c r="C662" s="249"/>
      <c r="D662" s="249"/>
      <c r="E662" s="249"/>
      <c r="F662" s="250"/>
    </row>
    <row r="663" spans="1:6" ht="19.5">
      <c r="A663" s="101"/>
      <c r="B663" s="248"/>
      <c r="C663" s="249"/>
      <c r="D663" s="249"/>
      <c r="E663" s="249"/>
      <c r="F663" s="250"/>
    </row>
    <row r="664" spans="1:6" ht="19.5">
      <c r="A664" s="101"/>
      <c r="B664" s="248"/>
      <c r="C664" s="249"/>
      <c r="D664" s="249"/>
      <c r="E664" s="249"/>
      <c r="F664" s="250"/>
    </row>
    <row r="665" spans="1:6" ht="19.5">
      <c r="A665" s="101"/>
      <c r="B665" s="248"/>
      <c r="C665" s="249"/>
      <c r="D665" s="249"/>
      <c r="E665" s="249"/>
      <c r="F665" s="250"/>
    </row>
    <row r="666" spans="1:6" ht="19.5">
      <c r="A666" s="101"/>
      <c r="B666" s="248"/>
      <c r="C666" s="249"/>
      <c r="D666" s="249"/>
      <c r="E666" s="249"/>
      <c r="F666" s="250"/>
    </row>
    <row r="667" spans="1:6" ht="19.5">
      <c r="A667" s="101"/>
      <c r="B667" s="248"/>
      <c r="C667" s="249"/>
      <c r="D667" s="249"/>
      <c r="E667" s="249"/>
      <c r="F667" s="250"/>
    </row>
    <row r="668" spans="1:6" ht="19.5">
      <c r="A668" s="101"/>
      <c r="B668" s="248"/>
      <c r="C668" s="249"/>
      <c r="D668" s="249"/>
      <c r="E668" s="249"/>
      <c r="F668" s="250"/>
    </row>
    <row r="669" spans="1:6" ht="19.5">
      <c r="A669" s="101"/>
      <c r="B669" s="248"/>
      <c r="C669" s="249"/>
      <c r="D669" s="249"/>
      <c r="E669" s="249"/>
      <c r="F669" s="250"/>
    </row>
    <row r="670" spans="1:6" ht="19.5">
      <c r="A670" s="101"/>
      <c r="B670" s="248"/>
      <c r="C670" s="249"/>
      <c r="D670" s="249"/>
      <c r="E670" s="249"/>
      <c r="F670" s="250"/>
    </row>
    <row r="671" spans="1:6" ht="19.5">
      <c r="A671" s="101"/>
      <c r="B671" s="248"/>
      <c r="C671" s="249"/>
      <c r="D671" s="249"/>
      <c r="E671" s="249"/>
      <c r="F671" s="250"/>
    </row>
    <row r="672" spans="1:6" ht="19.5">
      <c r="A672" s="101"/>
      <c r="B672" s="248"/>
      <c r="C672" s="249"/>
      <c r="D672" s="249"/>
      <c r="E672" s="249"/>
      <c r="F672" s="250"/>
    </row>
    <row r="673" spans="1:6" ht="19.5">
      <c r="A673" s="101"/>
      <c r="B673" s="248"/>
      <c r="C673" s="249"/>
      <c r="D673" s="249"/>
      <c r="E673" s="249"/>
      <c r="F673" s="250"/>
    </row>
    <row r="674" spans="1:6" ht="19.5">
      <c r="A674" s="101"/>
      <c r="B674" s="248"/>
      <c r="C674" s="249"/>
      <c r="D674" s="249"/>
      <c r="E674" s="249"/>
      <c r="F674" s="250"/>
    </row>
    <row r="675" spans="1:6" ht="19.5">
      <c r="A675" s="101"/>
      <c r="B675" s="248"/>
      <c r="C675" s="249"/>
      <c r="D675" s="249"/>
      <c r="E675" s="249"/>
      <c r="F675" s="250"/>
    </row>
    <row r="676" spans="1:6" ht="19.5">
      <c r="A676" s="101"/>
      <c r="B676" s="248"/>
      <c r="C676" s="249"/>
      <c r="D676" s="249"/>
      <c r="E676" s="249"/>
      <c r="F676" s="250"/>
    </row>
    <row r="677" spans="1:6" ht="19.5">
      <c r="A677" s="101"/>
      <c r="B677" s="248"/>
      <c r="C677" s="249"/>
      <c r="D677" s="249"/>
      <c r="E677" s="249"/>
      <c r="F677" s="250"/>
    </row>
    <row r="678" spans="1:6" ht="19.5">
      <c r="A678" s="101"/>
      <c r="B678" s="248"/>
      <c r="C678" s="249"/>
      <c r="D678" s="249"/>
      <c r="E678" s="249"/>
      <c r="F678" s="250"/>
    </row>
    <row r="679" spans="1:6" ht="19.5">
      <c r="A679" s="101"/>
      <c r="B679" s="248"/>
      <c r="C679" s="249"/>
      <c r="D679" s="249"/>
      <c r="E679" s="249"/>
      <c r="F679" s="250"/>
    </row>
    <row r="680" spans="1:6" ht="19.5">
      <c r="A680" s="101"/>
      <c r="B680" s="248"/>
      <c r="C680" s="249"/>
      <c r="D680" s="249"/>
      <c r="E680" s="249"/>
      <c r="F680" s="250"/>
    </row>
    <row r="681" spans="1:6" ht="19.5">
      <c r="A681" s="101"/>
      <c r="B681" s="248"/>
      <c r="C681" s="249"/>
      <c r="D681" s="249"/>
      <c r="E681" s="249"/>
      <c r="F681" s="250"/>
    </row>
    <row r="682" spans="1:6" ht="19.5">
      <c r="A682" s="101"/>
      <c r="B682" s="248"/>
      <c r="C682" s="249"/>
      <c r="D682" s="249"/>
      <c r="E682" s="249"/>
      <c r="F682" s="250"/>
    </row>
    <row r="683" spans="1:6" ht="19.5">
      <c r="A683" s="101"/>
      <c r="B683" s="248"/>
      <c r="C683" s="249"/>
      <c r="D683" s="249"/>
      <c r="E683" s="249"/>
      <c r="F683" s="250"/>
    </row>
    <row r="684" spans="1:6" ht="19.5">
      <c r="A684" s="101"/>
      <c r="B684" s="248"/>
      <c r="C684" s="249"/>
      <c r="D684" s="249"/>
      <c r="E684" s="249"/>
      <c r="F684" s="250"/>
    </row>
    <row r="685" spans="1:6" ht="19.5">
      <c r="A685" s="101"/>
      <c r="B685" s="248"/>
      <c r="C685" s="249"/>
      <c r="D685" s="249"/>
      <c r="E685" s="249"/>
      <c r="F685" s="250"/>
    </row>
    <row r="686" spans="1:6" ht="19.5">
      <c r="A686" s="101"/>
      <c r="B686" s="248"/>
      <c r="C686" s="249"/>
      <c r="D686" s="249"/>
      <c r="E686" s="249"/>
      <c r="F686" s="250"/>
    </row>
    <row r="687" spans="1:6" ht="19.5">
      <c r="A687" s="101"/>
      <c r="B687" s="248"/>
      <c r="C687" s="249"/>
      <c r="D687" s="249"/>
      <c r="E687" s="249"/>
      <c r="F687" s="250"/>
    </row>
    <row r="688" spans="1:6" ht="19.5">
      <c r="A688" s="101"/>
      <c r="B688" s="248"/>
      <c r="C688" s="249"/>
      <c r="D688" s="249"/>
      <c r="E688" s="249"/>
      <c r="F688" s="250"/>
    </row>
    <row r="689" spans="1:6" ht="19.5">
      <c r="A689" s="101"/>
      <c r="B689" s="248"/>
      <c r="C689" s="249"/>
      <c r="D689" s="249"/>
      <c r="E689" s="249"/>
      <c r="F689" s="250"/>
    </row>
    <row r="690" spans="1:6" ht="19.5">
      <c r="A690" s="101"/>
      <c r="B690" s="248"/>
      <c r="C690" s="249"/>
      <c r="D690" s="249"/>
      <c r="E690" s="249"/>
      <c r="F690" s="250"/>
    </row>
    <row r="691" spans="1:6" ht="19.5">
      <c r="A691" s="101"/>
      <c r="B691" s="248"/>
      <c r="C691" s="249"/>
      <c r="D691" s="249"/>
      <c r="E691" s="249"/>
      <c r="F691" s="250"/>
    </row>
    <row r="692" spans="1:6" ht="19.5">
      <c r="A692" s="101"/>
      <c r="B692" s="248"/>
      <c r="C692" s="249"/>
      <c r="D692" s="249"/>
      <c r="E692" s="249"/>
      <c r="F692" s="250"/>
    </row>
    <row r="693" spans="1:6" ht="19.5">
      <c r="A693" s="101"/>
      <c r="B693" s="248"/>
      <c r="C693" s="249"/>
      <c r="D693" s="249"/>
      <c r="E693" s="249"/>
      <c r="F693" s="250"/>
    </row>
    <row r="694" spans="1:6" ht="19.5">
      <c r="A694" s="101"/>
      <c r="B694" s="248"/>
      <c r="C694" s="249"/>
      <c r="D694" s="249"/>
      <c r="E694" s="249"/>
      <c r="F694" s="250"/>
    </row>
    <row r="695" spans="1:6" ht="19.5">
      <c r="A695" s="101"/>
      <c r="B695" s="248"/>
      <c r="C695" s="249"/>
      <c r="D695" s="249"/>
      <c r="E695" s="249"/>
      <c r="F695" s="250"/>
    </row>
    <row r="696" spans="1:6" ht="19.5">
      <c r="A696" s="101"/>
      <c r="B696" s="248"/>
      <c r="C696" s="249"/>
      <c r="D696" s="249"/>
      <c r="E696" s="249"/>
      <c r="F696" s="250"/>
    </row>
    <row r="697" spans="1:6" ht="19.5">
      <c r="A697" s="101"/>
      <c r="B697" s="248"/>
      <c r="C697" s="249"/>
      <c r="D697" s="249"/>
      <c r="E697" s="249"/>
      <c r="F697" s="250"/>
    </row>
    <row r="698" spans="1:6" ht="19.5">
      <c r="A698" s="101"/>
      <c r="B698" s="248"/>
      <c r="C698" s="249"/>
      <c r="D698" s="249"/>
      <c r="E698" s="249"/>
      <c r="F698" s="250"/>
    </row>
    <row r="699" spans="1:6" ht="19.5">
      <c r="A699" s="101"/>
      <c r="B699" s="248"/>
      <c r="C699" s="249"/>
      <c r="D699" s="249"/>
      <c r="E699" s="249"/>
      <c r="F699" s="250"/>
    </row>
    <row r="700" spans="1:6" ht="19.5">
      <c r="A700" s="101"/>
      <c r="B700" s="248"/>
      <c r="C700" s="249"/>
      <c r="D700" s="249"/>
      <c r="E700" s="249"/>
      <c r="F700" s="250"/>
    </row>
    <row r="701" spans="1:6" ht="19.5">
      <c r="A701" s="101"/>
      <c r="B701" s="248"/>
      <c r="C701" s="249"/>
      <c r="D701" s="249"/>
      <c r="E701" s="249"/>
      <c r="F701" s="250"/>
    </row>
    <row r="702" spans="1:6" ht="19.5">
      <c r="A702" s="101"/>
      <c r="B702" s="248"/>
      <c r="C702" s="249"/>
      <c r="D702" s="249"/>
      <c r="E702" s="249"/>
      <c r="F702" s="250"/>
    </row>
    <row r="703" spans="1:6" ht="19.5">
      <c r="A703" s="101"/>
      <c r="B703" s="248"/>
      <c r="C703" s="249"/>
      <c r="D703" s="249"/>
      <c r="E703" s="249"/>
      <c r="F703" s="250"/>
    </row>
    <row r="704" spans="1:6" ht="19.5">
      <c r="A704" s="101"/>
      <c r="B704" s="248"/>
      <c r="C704" s="249"/>
      <c r="D704" s="249"/>
      <c r="E704" s="249"/>
      <c r="F704" s="250"/>
    </row>
    <row r="705" spans="1:6" ht="19.5">
      <c r="A705" s="101"/>
      <c r="B705" s="248"/>
      <c r="C705" s="249"/>
      <c r="D705" s="249"/>
      <c r="E705" s="249"/>
      <c r="F705" s="250"/>
    </row>
    <row r="706" spans="1:6" ht="19.5">
      <c r="A706" s="101"/>
      <c r="B706" s="248"/>
      <c r="C706" s="249"/>
      <c r="D706" s="249"/>
      <c r="E706" s="249"/>
      <c r="F706" s="250"/>
    </row>
    <row r="707" spans="1:6" ht="19.5">
      <c r="A707" s="101"/>
      <c r="B707" s="248"/>
      <c r="C707" s="249"/>
      <c r="D707" s="249"/>
      <c r="E707" s="249"/>
      <c r="F707" s="250"/>
    </row>
    <row r="708" spans="1:6" ht="19.5">
      <c r="A708" s="101"/>
      <c r="B708" s="248"/>
      <c r="C708" s="249"/>
      <c r="D708" s="249"/>
      <c r="E708" s="249"/>
      <c r="F708" s="250"/>
    </row>
    <row r="709" spans="1:6" ht="19.5">
      <c r="A709" s="101"/>
      <c r="B709" s="248"/>
      <c r="C709" s="249"/>
      <c r="D709" s="249"/>
      <c r="E709" s="249"/>
      <c r="F709" s="250"/>
    </row>
    <row r="710" spans="1:6" ht="19.5">
      <c r="A710" s="101"/>
      <c r="B710" s="248"/>
      <c r="C710" s="249"/>
      <c r="D710" s="249"/>
      <c r="E710" s="249"/>
      <c r="F710" s="250"/>
    </row>
    <row r="711" spans="1:6" ht="19.5">
      <c r="A711" s="101"/>
      <c r="B711" s="248"/>
      <c r="C711" s="249"/>
      <c r="D711" s="249"/>
      <c r="E711" s="249"/>
      <c r="F711" s="250"/>
    </row>
    <row r="712" spans="1:6" ht="19.5">
      <c r="A712" s="101"/>
      <c r="B712" s="248"/>
      <c r="C712" s="249"/>
      <c r="D712" s="249"/>
      <c r="E712" s="249"/>
      <c r="F712" s="250"/>
    </row>
    <row r="713" spans="1:6" ht="19.5">
      <c r="A713" s="101"/>
      <c r="B713" s="248"/>
      <c r="C713" s="249"/>
      <c r="D713" s="249"/>
      <c r="E713" s="249"/>
      <c r="F713" s="250"/>
    </row>
    <row r="714" spans="1:6" ht="19.5">
      <c r="A714" s="101"/>
      <c r="B714" s="248"/>
      <c r="C714" s="249"/>
      <c r="D714" s="249"/>
      <c r="E714" s="249"/>
      <c r="F714" s="250"/>
    </row>
    <row r="715" spans="1:6" ht="19.5">
      <c r="A715" s="101"/>
      <c r="B715" s="248"/>
      <c r="C715" s="249"/>
      <c r="D715" s="249"/>
      <c r="E715" s="249"/>
      <c r="F715" s="250"/>
    </row>
    <row r="716" spans="1:6" ht="19.5">
      <c r="A716" s="101"/>
      <c r="B716" s="248"/>
      <c r="C716" s="249"/>
      <c r="D716" s="249"/>
      <c r="E716" s="249"/>
      <c r="F716" s="250"/>
    </row>
    <row r="717" spans="1:6" ht="19.5">
      <c r="A717" s="101"/>
      <c r="B717" s="248"/>
      <c r="C717" s="249"/>
      <c r="D717" s="249"/>
      <c r="E717" s="249"/>
      <c r="F717" s="250"/>
    </row>
    <row r="718" spans="1:6" ht="19.5">
      <c r="A718" s="101"/>
      <c r="B718" s="248"/>
      <c r="C718" s="249"/>
      <c r="D718" s="249"/>
      <c r="E718" s="249"/>
      <c r="F718" s="250"/>
    </row>
    <row r="719" spans="1:6" ht="19.5">
      <c r="A719" s="101"/>
      <c r="B719" s="248"/>
      <c r="C719" s="249"/>
      <c r="D719" s="249"/>
      <c r="E719" s="249"/>
      <c r="F719" s="250"/>
    </row>
    <row r="720" spans="1:6" ht="19.5">
      <c r="A720" s="101"/>
      <c r="B720" s="248"/>
      <c r="C720" s="249"/>
      <c r="D720" s="249"/>
      <c r="E720" s="249"/>
      <c r="F720" s="250"/>
    </row>
    <row r="721" spans="1:6" ht="19.5">
      <c r="A721" s="101"/>
      <c r="B721" s="248"/>
      <c r="C721" s="249"/>
      <c r="D721" s="249"/>
      <c r="E721" s="249"/>
      <c r="F721" s="250"/>
    </row>
    <row r="722" spans="1:6" ht="19.5">
      <c r="A722" s="101"/>
      <c r="B722" s="248"/>
      <c r="C722" s="249"/>
      <c r="D722" s="249"/>
      <c r="E722" s="249"/>
      <c r="F722" s="250"/>
    </row>
    <row r="723" spans="1:6" ht="19.5">
      <c r="A723" s="101"/>
      <c r="B723" s="248"/>
      <c r="C723" s="249"/>
      <c r="D723" s="249"/>
      <c r="E723" s="249"/>
      <c r="F723" s="250"/>
    </row>
    <row r="724" spans="1:6" ht="19.5">
      <c r="A724" s="101"/>
      <c r="B724" s="248"/>
      <c r="C724" s="249"/>
      <c r="D724" s="249"/>
      <c r="E724" s="249"/>
      <c r="F724" s="250"/>
    </row>
    <row r="725" spans="1:6" ht="19.5">
      <c r="A725" s="101"/>
      <c r="B725" s="248"/>
      <c r="C725" s="249"/>
      <c r="D725" s="249"/>
      <c r="E725" s="249"/>
      <c r="F725" s="250"/>
    </row>
    <row r="726" spans="1:6" ht="19.5">
      <c r="A726" s="101"/>
      <c r="B726" s="248"/>
      <c r="C726" s="249"/>
      <c r="D726" s="249"/>
      <c r="E726" s="249"/>
      <c r="F726" s="250"/>
    </row>
    <row r="727" spans="1:6" ht="19.5">
      <c r="A727" s="101"/>
      <c r="B727" s="248"/>
      <c r="C727" s="249"/>
      <c r="D727" s="249"/>
      <c r="E727" s="249"/>
      <c r="F727" s="250"/>
    </row>
    <row r="728" spans="1:6" ht="19.5">
      <c r="A728" s="101"/>
      <c r="B728" s="248"/>
      <c r="C728" s="249"/>
      <c r="D728" s="249"/>
      <c r="E728" s="249"/>
      <c r="F728" s="250"/>
    </row>
    <row r="729" spans="1:6" ht="19.5">
      <c r="A729" s="101"/>
      <c r="B729" s="248"/>
      <c r="C729" s="249"/>
      <c r="D729" s="249"/>
      <c r="E729" s="249"/>
      <c r="F729" s="250"/>
    </row>
    <row r="730" spans="1:6" ht="19.5">
      <c r="A730" s="101"/>
      <c r="B730" s="248"/>
      <c r="C730" s="249"/>
      <c r="D730" s="249"/>
      <c r="E730" s="249"/>
      <c r="F730" s="250"/>
    </row>
    <row r="731" spans="1:6" ht="19.5">
      <c r="A731" s="101"/>
      <c r="B731" s="248"/>
      <c r="C731" s="249"/>
      <c r="D731" s="249"/>
      <c r="E731" s="249"/>
      <c r="F731" s="250"/>
    </row>
    <row r="732" spans="1:6" ht="19.5">
      <c r="A732" s="101"/>
      <c r="B732" s="248"/>
      <c r="C732" s="249"/>
      <c r="D732" s="249"/>
      <c r="E732" s="249"/>
      <c r="F732" s="250"/>
    </row>
    <row r="733" spans="1:6" ht="19.5">
      <c r="A733" s="101"/>
      <c r="B733" s="248"/>
      <c r="C733" s="249"/>
      <c r="D733" s="249"/>
      <c r="E733" s="249"/>
      <c r="F733" s="250"/>
    </row>
    <row r="734" spans="1:6" ht="19.5">
      <c r="A734" s="101"/>
      <c r="B734" s="248"/>
      <c r="C734" s="249"/>
      <c r="D734" s="249"/>
      <c r="E734" s="249"/>
      <c r="F734" s="250"/>
    </row>
    <row r="735" spans="1:6" ht="19.5">
      <c r="A735" s="101"/>
      <c r="B735" s="248"/>
      <c r="C735" s="249"/>
      <c r="D735" s="249"/>
      <c r="E735" s="249"/>
      <c r="F735" s="250"/>
    </row>
    <row r="736" spans="1:6" ht="19.5">
      <c r="A736" s="101"/>
      <c r="B736" s="248"/>
      <c r="C736" s="249"/>
      <c r="D736" s="249"/>
      <c r="E736" s="249"/>
      <c r="F736" s="250"/>
    </row>
    <row r="737" spans="1:6" ht="19.5">
      <c r="A737" s="101"/>
      <c r="B737" s="248"/>
      <c r="C737" s="249"/>
      <c r="D737" s="249"/>
      <c r="E737" s="249"/>
      <c r="F737" s="250"/>
    </row>
    <row r="738" spans="1:6" ht="19.5">
      <c r="A738" s="101"/>
      <c r="B738" s="248"/>
      <c r="C738" s="249"/>
      <c r="D738" s="249"/>
      <c r="E738" s="249"/>
      <c r="F738" s="250"/>
    </row>
    <row r="739" spans="1:6" ht="19.5">
      <c r="A739" s="101"/>
      <c r="B739" s="248"/>
      <c r="C739" s="249"/>
      <c r="D739" s="249"/>
      <c r="E739" s="249"/>
      <c r="F739" s="250"/>
    </row>
    <row r="740" spans="1:6" ht="19.5">
      <c r="A740" s="101"/>
      <c r="B740" s="248"/>
      <c r="C740" s="249"/>
      <c r="D740" s="249"/>
      <c r="E740" s="249"/>
      <c r="F740" s="250"/>
    </row>
    <row r="741" spans="1:6" ht="19.5">
      <c r="A741" s="101"/>
      <c r="B741" s="248"/>
      <c r="C741" s="249"/>
      <c r="D741" s="249"/>
      <c r="E741" s="249"/>
      <c r="F741" s="250"/>
    </row>
    <row r="742" spans="1:6" ht="19.5">
      <c r="A742" s="101"/>
      <c r="B742" s="248"/>
      <c r="C742" s="249"/>
      <c r="D742" s="249"/>
      <c r="E742" s="249"/>
      <c r="F742" s="250"/>
    </row>
    <row r="743" spans="1:6" ht="19.5">
      <c r="A743" s="101"/>
      <c r="B743" s="248"/>
      <c r="C743" s="249"/>
      <c r="D743" s="249"/>
      <c r="E743" s="249"/>
      <c r="F743" s="250"/>
    </row>
    <row r="744" spans="1:6" ht="19.5">
      <c r="A744" s="101"/>
      <c r="B744" s="248"/>
      <c r="C744" s="249"/>
      <c r="D744" s="249"/>
      <c r="E744" s="249"/>
      <c r="F744" s="250"/>
    </row>
    <row r="745" spans="1:6" ht="19.5">
      <c r="A745" s="101"/>
      <c r="B745" s="248"/>
      <c r="C745" s="249"/>
      <c r="D745" s="249"/>
      <c r="E745" s="249"/>
      <c r="F745" s="250"/>
    </row>
    <row r="746" spans="1:6" ht="19.5">
      <c r="A746" s="101"/>
      <c r="B746" s="248"/>
      <c r="C746" s="249"/>
      <c r="D746" s="249"/>
      <c r="E746" s="249"/>
      <c r="F746" s="250"/>
    </row>
    <row r="747" spans="1:6" ht="19.5">
      <c r="A747" s="101"/>
      <c r="B747" s="248"/>
      <c r="C747" s="249"/>
      <c r="D747" s="249"/>
      <c r="E747" s="249"/>
      <c r="F747" s="250"/>
    </row>
    <row r="748" spans="1:6" ht="19.5">
      <c r="A748" s="101"/>
      <c r="B748" s="248"/>
      <c r="C748" s="249"/>
      <c r="D748" s="249"/>
      <c r="E748" s="249"/>
      <c r="F748" s="250"/>
    </row>
    <row r="749" spans="1:6" ht="19.5">
      <c r="A749" s="101"/>
      <c r="B749" s="248"/>
      <c r="C749" s="249"/>
      <c r="D749" s="249"/>
      <c r="E749" s="249"/>
      <c r="F749" s="250"/>
    </row>
    <row r="750" spans="1:6" ht="19.5">
      <c r="A750" s="101"/>
      <c r="B750" s="248"/>
      <c r="C750" s="249"/>
      <c r="D750" s="249"/>
      <c r="E750" s="249"/>
      <c r="F750" s="250"/>
    </row>
    <row r="751" spans="1:6" ht="19.5">
      <c r="A751" s="101"/>
      <c r="B751" s="248"/>
      <c r="C751" s="249"/>
      <c r="D751" s="249"/>
      <c r="E751" s="249"/>
      <c r="F751" s="250"/>
    </row>
    <row r="752" spans="1:6" ht="19.5">
      <c r="A752" s="101"/>
      <c r="B752" s="248"/>
      <c r="C752" s="249"/>
      <c r="D752" s="249"/>
      <c r="E752" s="249"/>
      <c r="F752" s="250"/>
    </row>
    <row r="753" spans="1:6" ht="19.5">
      <c r="A753" s="101"/>
      <c r="B753" s="248"/>
      <c r="C753" s="249"/>
      <c r="D753" s="249"/>
      <c r="E753" s="249"/>
      <c r="F753" s="250"/>
    </row>
    <row r="754" spans="1:6" ht="19.5">
      <c r="A754" s="101"/>
      <c r="B754" s="248"/>
      <c r="C754" s="249"/>
      <c r="D754" s="249"/>
      <c r="E754" s="249"/>
      <c r="F754" s="250"/>
    </row>
    <row r="755" spans="1:6" ht="19.5">
      <c r="A755" s="101"/>
      <c r="B755" s="248"/>
      <c r="C755" s="249"/>
      <c r="D755" s="249"/>
      <c r="E755" s="249"/>
      <c r="F755" s="250"/>
    </row>
    <row r="756" spans="1:6" ht="19.5">
      <c r="A756" s="101"/>
      <c r="B756" s="248"/>
      <c r="C756" s="249"/>
      <c r="D756" s="249"/>
      <c r="E756" s="249"/>
      <c r="F756" s="250"/>
    </row>
    <row r="757" spans="1:6" ht="19.5">
      <c r="A757" s="101"/>
      <c r="B757" s="248"/>
      <c r="C757" s="249"/>
      <c r="D757" s="249"/>
      <c r="E757" s="249"/>
      <c r="F757" s="250"/>
    </row>
    <row r="758" spans="1:6" ht="19.5">
      <c r="A758" s="101"/>
      <c r="B758" s="248"/>
      <c r="C758" s="249"/>
      <c r="D758" s="249"/>
      <c r="E758" s="249"/>
      <c r="F758" s="250"/>
    </row>
    <row r="759" spans="1:6" ht="19.5">
      <c r="A759" s="101"/>
      <c r="B759" s="248"/>
      <c r="C759" s="249"/>
      <c r="D759" s="249"/>
      <c r="E759" s="249"/>
      <c r="F759" s="250"/>
    </row>
    <row r="760" spans="1:6" ht="19.5">
      <c r="A760" s="101"/>
      <c r="B760" s="248"/>
      <c r="C760" s="249"/>
      <c r="D760" s="249"/>
      <c r="E760" s="249"/>
      <c r="F760" s="250"/>
    </row>
    <row r="761" spans="1:6" ht="19.5">
      <c r="A761" s="101"/>
      <c r="B761" s="248"/>
      <c r="C761" s="249"/>
      <c r="D761" s="249"/>
      <c r="E761" s="249"/>
      <c r="F761" s="250"/>
    </row>
    <row r="762" spans="1:6" ht="19.5">
      <c r="A762" s="101"/>
      <c r="B762" s="248"/>
      <c r="C762" s="249"/>
      <c r="D762" s="249"/>
      <c r="E762" s="249"/>
      <c r="F762" s="250"/>
    </row>
    <row r="763" spans="1:6" ht="19.5">
      <c r="A763" s="101"/>
      <c r="B763" s="248"/>
      <c r="C763" s="249"/>
      <c r="D763" s="249"/>
      <c r="E763" s="249"/>
      <c r="F763" s="250"/>
    </row>
    <row r="764" spans="1:6" ht="19.5">
      <c r="A764" s="101"/>
      <c r="B764" s="248"/>
      <c r="C764" s="249"/>
      <c r="D764" s="249"/>
      <c r="E764" s="249"/>
      <c r="F764" s="250"/>
    </row>
    <row r="765" spans="1:6" ht="19.5">
      <c r="A765" s="101"/>
      <c r="B765" s="248"/>
      <c r="C765" s="249"/>
      <c r="D765" s="249"/>
      <c r="E765" s="249"/>
      <c r="F765" s="250"/>
    </row>
    <row r="766" spans="1:6" ht="19.5">
      <c r="A766" s="101"/>
      <c r="B766" s="248"/>
      <c r="C766" s="249"/>
      <c r="D766" s="249"/>
      <c r="E766" s="249"/>
      <c r="F766" s="250"/>
    </row>
    <row r="767" spans="1:6" ht="19.5">
      <c r="A767" s="101"/>
      <c r="B767" s="248"/>
      <c r="C767" s="249"/>
      <c r="D767" s="249"/>
      <c r="E767" s="249"/>
      <c r="F767" s="250"/>
    </row>
    <row r="768" spans="1:6" ht="19.5">
      <c r="A768" s="101"/>
      <c r="B768" s="248"/>
      <c r="C768" s="249"/>
      <c r="D768" s="249"/>
      <c r="E768" s="249"/>
      <c r="F768" s="250"/>
    </row>
    <row r="769" spans="1:6" ht="19.5">
      <c r="A769" s="101"/>
      <c r="B769" s="248"/>
      <c r="C769" s="249"/>
      <c r="D769" s="249"/>
      <c r="E769" s="249"/>
      <c r="F769" s="250"/>
    </row>
    <row r="770" spans="1:6" ht="19.5">
      <c r="A770" s="101"/>
      <c r="B770" s="248"/>
      <c r="C770" s="249"/>
      <c r="D770" s="249"/>
      <c r="E770" s="249"/>
      <c r="F770" s="250"/>
    </row>
    <row r="771" spans="1:6" ht="19.5">
      <c r="A771" s="101"/>
      <c r="B771" s="248"/>
      <c r="C771" s="249"/>
      <c r="D771" s="249"/>
      <c r="E771" s="249"/>
      <c r="F771" s="250"/>
    </row>
    <row r="772" spans="1:6" ht="19.5">
      <c r="A772" s="101"/>
      <c r="B772" s="248"/>
      <c r="C772" s="249"/>
      <c r="D772" s="249"/>
      <c r="E772" s="249"/>
      <c r="F772" s="250"/>
    </row>
    <row r="773" spans="1:6" ht="19.5">
      <c r="A773" s="101"/>
      <c r="B773" s="248"/>
      <c r="C773" s="249"/>
      <c r="D773" s="249"/>
      <c r="E773" s="249"/>
      <c r="F773" s="250"/>
    </row>
    <row r="774" spans="1:6" ht="19.5">
      <c r="A774" s="101"/>
      <c r="B774" s="248"/>
      <c r="C774" s="249"/>
      <c r="D774" s="249"/>
      <c r="E774" s="249"/>
      <c r="F774" s="250"/>
    </row>
    <row r="775" spans="1:6" ht="19.5">
      <c r="A775" s="101"/>
      <c r="B775" s="248"/>
      <c r="C775" s="249"/>
      <c r="D775" s="249"/>
      <c r="E775" s="249"/>
      <c r="F775" s="250"/>
    </row>
    <row r="776" spans="1:6" ht="19.5">
      <c r="A776" s="101"/>
      <c r="B776" s="248"/>
      <c r="C776" s="249"/>
      <c r="D776" s="249"/>
      <c r="E776" s="249"/>
      <c r="F776" s="250"/>
    </row>
    <row r="777" spans="1:6" ht="19.5">
      <c r="A777" s="101"/>
      <c r="B777" s="248"/>
      <c r="C777" s="249"/>
      <c r="D777" s="249"/>
      <c r="E777" s="249"/>
      <c r="F777" s="250"/>
    </row>
    <row r="778" spans="1:6" ht="19.5">
      <c r="A778" s="101"/>
      <c r="B778" s="248"/>
      <c r="C778" s="249"/>
      <c r="D778" s="249"/>
      <c r="E778" s="249"/>
      <c r="F778" s="250"/>
    </row>
    <row r="779" spans="1:6" ht="19.5">
      <c r="A779" s="101"/>
      <c r="B779" s="248"/>
      <c r="C779" s="249"/>
      <c r="D779" s="249"/>
      <c r="E779" s="249"/>
      <c r="F779" s="250"/>
    </row>
    <row r="780" spans="1:6" ht="19.5">
      <c r="A780" s="101"/>
      <c r="B780" s="248"/>
      <c r="C780" s="249"/>
      <c r="D780" s="249"/>
      <c r="E780" s="249"/>
      <c r="F780" s="250"/>
    </row>
    <row r="781" spans="1:6" ht="19.5">
      <c r="A781" s="101"/>
      <c r="B781" s="248"/>
      <c r="C781" s="249"/>
      <c r="D781" s="249"/>
      <c r="E781" s="249"/>
      <c r="F781" s="250"/>
    </row>
    <row r="782" spans="1:6" ht="19.5">
      <c r="A782" s="101"/>
      <c r="B782" s="248"/>
      <c r="C782" s="249"/>
      <c r="D782" s="249"/>
      <c r="E782" s="249"/>
      <c r="F782" s="250"/>
    </row>
    <row r="783" spans="1:6" ht="19.5">
      <c r="A783" s="101"/>
      <c r="B783" s="248"/>
      <c r="C783" s="249"/>
      <c r="D783" s="249"/>
      <c r="E783" s="249"/>
      <c r="F783" s="250"/>
    </row>
    <row r="784" spans="1:6" ht="19.5">
      <c r="A784" s="101"/>
      <c r="B784" s="248"/>
      <c r="C784" s="249"/>
      <c r="D784" s="249"/>
      <c r="E784" s="249"/>
      <c r="F784" s="250"/>
    </row>
    <row r="785" spans="1:6" ht="19.5">
      <c r="A785" s="101"/>
      <c r="B785" s="248"/>
      <c r="C785" s="249"/>
      <c r="D785" s="249"/>
      <c r="E785" s="249"/>
      <c r="F785" s="250"/>
    </row>
    <row r="786" spans="1:6" ht="19.5">
      <c r="A786" s="101"/>
      <c r="B786" s="248"/>
      <c r="C786" s="249"/>
      <c r="D786" s="249"/>
      <c r="E786" s="249"/>
      <c r="F786" s="250"/>
    </row>
    <row r="787" spans="1:6" ht="19.5">
      <c r="A787" s="101"/>
      <c r="B787" s="248"/>
      <c r="C787" s="249"/>
      <c r="D787" s="249"/>
      <c r="E787" s="249"/>
      <c r="F787" s="250"/>
    </row>
    <row r="788" spans="1:6" ht="19.5">
      <c r="A788" s="101"/>
      <c r="B788" s="248"/>
      <c r="C788" s="249"/>
      <c r="D788" s="249"/>
      <c r="E788" s="249"/>
      <c r="F788" s="250"/>
    </row>
    <row r="789" spans="1:6" ht="19.5">
      <c r="A789" s="101"/>
      <c r="B789" s="248"/>
      <c r="C789" s="249"/>
      <c r="D789" s="249"/>
      <c r="E789" s="249"/>
      <c r="F789" s="250"/>
    </row>
    <row r="790" spans="1:6" ht="19.5">
      <c r="A790" s="101"/>
      <c r="B790" s="248"/>
      <c r="C790" s="249"/>
      <c r="D790" s="249"/>
      <c r="E790" s="249"/>
      <c r="F790" s="250"/>
    </row>
    <row r="791" spans="1:6" ht="19.5">
      <c r="A791" s="101"/>
      <c r="B791" s="248"/>
      <c r="C791" s="249"/>
      <c r="D791" s="249"/>
      <c r="E791" s="249"/>
      <c r="F791" s="250"/>
    </row>
    <row r="792" spans="1:6" ht="19.5">
      <c r="A792" s="101"/>
      <c r="B792" s="248"/>
      <c r="C792" s="249"/>
      <c r="D792" s="249"/>
      <c r="E792" s="249"/>
      <c r="F792" s="250"/>
    </row>
    <row r="793" spans="1:6" ht="19.5">
      <c r="A793" s="101"/>
      <c r="B793" s="248"/>
      <c r="C793" s="249"/>
      <c r="D793" s="249"/>
      <c r="E793" s="249"/>
      <c r="F793" s="250"/>
    </row>
    <row r="794" spans="1:6" ht="19.5">
      <c r="A794" s="101"/>
      <c r="B794" s="248"/>
      <c r="C794" s="249"/>
      <c r="D794" s="249"/>
      <c r="E794" s="249"/>
      <c r="F794" s="250"/>
    </row>
    <row r="795" spans="1:6" ht="19.5">
      <c r="A795" s="101"/>
      <c r="B795" s="248"/>
      <c r="C795" s="249"/>
      <c r="D795" s="249"/>
      <c r="E795" s="249"/>
      <c r="F795" s="250"/>
    </row>
    <row r="796" spans="1:6" ht="19.5">
      <c r="A796" s="101"/>
      <c r="B796" s="248"/>
      <c r="C796" s="249"/>
      <c r="D796" s="249"/>
      <c r="E796" s="249"/>
      <c r="F796" s="250"/>
    </row>
    <row r="797" spans="1:6" ht="19.5">
      <c r="A797" s="101"/>
      <c r="B797" s="248"/>
      <c r="C797" s="249"/>
      <c r="D797" s="249"/>
      <c r="E797" s="249"/>
      <c r="F797" s="250"/>
    </row>
    <row r="798" spans="1:6" ht="19.5">
      <c r="A798" s="101"/>
      <c r="B798" s="248"/>
      <c r="C798" s="249"/>
      <c r="D798" s="249"/>
      <c r="E798" s="249"/>
      <c r="F798" s="250"/>
    </row>
    <row r="799" spans="1:6" ht="19.5">
      <c r="A799" s="101"/>
      <c r="B799" s="248"/>
      <c r="C799" s="249"/>
      <c r="D799" s="249"/>
      <c r="E799" s="249"/>
      <c r="F799" s="250"/>
    </row>
    <row r="800" spans="1:6" ht="19.5">
      <c r="A800" s="101"/>
      <c r="B800" s="248"/>
      <c r="C800" s="249"/>
      <c r="D800" s="249"/>
      <c r="E800" s="249"/>
      <c r="F800" s="250"/>
    </row>
    <row r="801" spans="1:6" ht="19.5">
      <c r="A801" s="101"/>
      <c r="B801" s="248"/>
      <c r="C801" s="249"/>
      <c r="D801" s="249"/>
      <c r="E801" s="249"/>
      <c r="F801" s="250"/>
    </row>
    <row r="802" spans="1:6" ht="19.5">
      <c r="A802" s="101"/>
      <c r="B802" s="248"/>
      <c r="C802" s="249"/>
      <c r="D802" s="249"/>
      <c r="E802" s="249"/>
      <c r="F802" s="250"/>
    </row>
    <row r="803" spans="1:6" ht="19.5">
      <c r="A803" s="101"/>
      <c r="B803" s="248"/>
      <c r="C803" s="249"/>
      <c r="D803" s="249"/>
      <c r="E803" s="249"/>
      <c r="F803" s="250"/>
    </row>
    <row r="804" spans="1:6" ht="19.5">
      <c r="A804" s="101"/>
      <c r="B804" s="248"/>
      <c r="C804" s="249"/>
      <c r="D804" s="249"/>
      <c r="E804" s="249"/>
      <c r="F804" s="250"/>
    </row>
    <row r="805" spans="1:6" ht="19.5">
      <c r="A805" s="101"/>
      <c r="B805" s="248"/>
      <c r="C805" s="249"/>
      <c r="D805" s="249"/>
      <c r="E805" s="249"/>
      <c r="F805" s="250"/>
    </row>
    <row r="806" spans="1:6" ht="19.5">
      <c r="A806" s="101"/>
      <c r="B806" s="248"/>
      <c r="C806" s="249"/>
      <c r="D806" s="249"/>
      <c r="E806" s="249"/>
      <c r="F806" s="250"/>
    </row>
    <row r="807" spans="1:6" ht="19.5">
      <c r="A807" s="101"/>
      <c r="B807" s="248"/>
      <c r="C807" s="249"/>
      <c r="D807" s="249"/>
      <c r="E807" s="249"/>
      <c r="F807" s="250"/>
    </row>
    <row r="808" spans="1:6" ht="19.5">
      <c r="A808" s="101"/>
      <c r="B808" s="248"/>
      <c r="C808" s="249"/>
      <c r="D808" s="249"/>
      <c r="E808" s="249"/>
      <c r="F808" s="250"/>
    </row>
    <row r="809" spans="1:6" ht="19.5">
      <c r="A809" s="101"/>
      <c r="B809" s="248"/>
      <c r="C809" s="249"/>
      <c r="D809" s="249"/>
      <c r="E809" s="249"/>
      <c r="F809" s="250"/>
    </row>
    <row r="810" spans="1:6" ht="19.5">
      <c r="A810" s="101"/>
      <c r="B810" s="248"/>
      <c r="C810" s="249"/>
      <c r="D810" s="249"/>
      <c r="E810" s="249"/>
      <c r="F810" s="250"/>
    </row>
    <row r="811" spans="1:6" ht="19.5">
      <c r="A811" s="101"/>
      <c r="B811" s="248"/>
      <c r="C811" s="249"/>
      <c r="D811" s="249"/>
      <c r="E811" s="249"/>
      <c r="F811" s="250"/>
    </row>
    <row r="812" spans="1:6" ht="19.5">
      <c r="A812" s="101"/>
      <c r="B812" s="248"/>
      <c r="C812" s="249"/>
      <c r="D812" s="249"/>
      <c r="E812" s="249"/>
      <c r="F812" s="250"/>
    </row>
    <row r="813" spans="1:6" ht="19.5">
      <c r="A813" s="101"/>
      <c r="B813" s="248"/>
      <c r="C813" s="249"/>
      <c r="D813" s="249"/>
      <c r="E813" s="249"/>
      <c r="F813" s="250"/>
    </row>
    <row r="814" spans="1:6" ht="19.5">
      <c r="A814" s="101"/>
      <c r="B814" s="248"/>
      <c r="C814" s="249"/>
      <c r="D814" s="249"/>
      <c r="E814" s="249"/>
      <c r="F814" s="250"/>
    </row>
    <row r="815" spans="1:6" ht="19.5">
      <c r="A815" s="101"/>
      <c r="B815" s="248"/>
      <c r="C815" s="249"/>
      <c r="D815" s="249"/>
      <c r="E815" s="249"/>
      <c r="F815" s="250"/>
    </row>
    <row r="816" spans="1:6" ht="19.5">
      <c r="A816" s="101"/>
      <c r="B816" s="248"/>
      <c r="C816" s="249"/>
      <c r="D816" s="249"/>
      <c r="E816" s="249"/>
      <c r="F816" s="250"/>
    </row>
    <row r="817" spans="1:6" ht="19.5">
      <c r="A817" s="101"/>
      <c r="B817" s="248"/>
      <c r="C817" s="249"/>
      <c r="D817" s="249"/>
      <c r="E817" s="249"/>
      <c r="F817" s="250"/>
    </row>
    <row r="818" spans="1:6" ht="19.5">
      <c r="A818" s="101"/>
      <c r="B818" s="248"/>
      <c r="C818" s="249"/>
      <c r="D818" s="249"/>
      <c r="E818" s="249"/>
      <c r="F818" s="250"/>
    </row>
    <row r="819" spans="1:6" ht="19.5">
      <c r="A819" s="101"/>
      <c r="B819" s="248"/>
      <c r="C819" s="249"/>
      <c r="D819" s="249"/>
      <c r="E819" s="249"/>
      <c r="F819" s="250"/>
    </row>
    <row r="820" spans="1:6" ht="19.5">
      <c r="A820" s="101"/>
      <c r="B820" s="248"/>
      <c r="C820" s="249"/>
      <c r="D820" s="249"/>
      <c r="E820" s="249"/>
      <c r="F820" s="250"/>
    </row>
    <row r="821" spans="1:6" ht="19.5">
      <c r="A821" s="101"/>
      <c r="B821" s="248"/>
      <c r="C821" s="249"/>
      <c r="D821" s="249"/>
      <c r="E821" s="249"/>
      <c r="F821" s="250"/>
    </row>
    <row r="822" spans="1:6" ht="19.5">
      <c r="A822" s="101"/>
      <c r="B822" s="248"/>
      <c r="C822" s="249"/>
      <c r="D822" s="249"/>
      <c r="E822" s="249"/>
      <c r="F822" s="250"/>
    </row>
    <row r="823" spans="1:6" ht="19.5">
      <c r="A823" s="101"/>
      <c r="B823" s="248"/>
      <c r="C823" s="249"/>
      <c r="D823" s="249"/>
      <c r="E823" s="249"/>
      <c r="F823" s="250"/>
    </row>
    <row r="824" spans="1:6" ht="19.5">
      <c r="A824" s="101"/>
      <c r="B824" s="248"/>
      <c r="C824" s="249"/>
      <c r="D824" s="249"/>
      <c r="E824" s="249"/>
      <c r="F824" s="250"/>
    </row>
    <row r="825" spans="1:6" ht="19.5">
      <c r="A825" s="101"/>
      <c r="B825" s="248"/>
      <c r="C825" s="249"/>
      <c r="D825" s="249"/>
      <c r="E825" s="249"/>
      <c r="F825" s="250"/>
    </row>
    <row r="826" spans="1:6" ht="19.5">
      <c r="A826" s="101"/>
      <c r="B826" s="248"/>
      <c r="C826" s="249"/>
      <c r="D826" s="249"/>
      <c r="E826" s="249"/>
      <c r="F826" s="250"/>
    </row>
    <row r="827" spans="1:6" ht="19.5">
      <c r="A827" s="101"/>
      <c r="B827" s="248"/>
      <c r="C827" s="249"/>
      <c r="D827" s="249"/>
      <c r="E827" s="249"/>
      <c r="F827" s="250"/>
    </row>
    <row r="828" spans="1:6" ht="19.5">
      <c r="A828" s="101"/>
      <c r="B828" s="248"/>
      <c r="C828" s="249"/>
      <c r="D828" s="249"/>
      <c r="E828" s="249"/>
      <c r="F828" s="250"/>
    </row>
    <row r="829" spans="1:6" ht="19.5">
      <c r="A829" s="101"/>
      <c r="B829" s="248"/>
      <c r="C829" s="249"/>
      <c r="D829" s="249"/>
      <c r="E829" s="249"/>
      <c r="F829" s="250"/>
    </row>
    <row r="830" spans="1:6" ht="19.5">
      <c r="A830" s="101"/>
      <c r="B830" s="248"/>
      <c r="C830" s="249"/>
      <c r="D830" s="249"/>
      <c r="E830" s="249"/>
      <c r="F830" s="250"/>
    </row>
    <row r="831" spans="1:6" ht="19.5">
      <c r="A831" s="101"/>
      <c r="B831" s="248"/>
      <c r="C831" s="249"/>
      <c r="D831" s="249"/>
      <c r="E831" s="249"/>
      <c r="F831" s="250"/>
    </row>
    <row r="832" spans="1:6" ht="19.5">
      <c r="A832" s="101"/>
      <c r="B832" s="248"/>
      <c r="C832" s="249"/>
      <c r="D832" s="249"/>
      <c r="E832" s="249"/>
      <c r="F832" s="250"/>
    </row>
    <row r="833" spans="1:6" ht="19.5">
      <c r="A833" s="101"/>
      <c r="B833" s="248"/>
      <c r="C833" s="249"/>
      <c r="D833" s="249"/>
      <c r="E833" s="249"/>
      <c r="F833" s="250"/>
    </row>
    <row r="834" spans="1:6" ht="19.5">
      <c r="A834" s="101"/>
      <c r="B834" s="248"/>
      <c r="C834" s="249"/>
      <c r="D834" s="249"/>
      <c r="E834" s="249"/>
      <c r="F834" s="250"/>
    </row>
    <row r="835" spans="1:6" ht="19.5">
      <c r="A835" s="101"/>
      <c r="B835" s="248"/>
      <c r="C835" s="249"/>
      <c r="D835" s="249"/>
      <c r="E835" s="249"/>
      <c r="F835" s="250"/>
    </row>
    <row r="836" spans="1:6" ht="19.5">
      <c r="A836" s="101"/>
      <c r="B836" s="248"/>
      <c r="C836" s="249"/>
      <c r="D836" s="249"/>
      <c r="E836" s="249"/>
      <c r="F836" s="250"/>
    </row>
    <row r="837" spans="1:6" ht="19.5">
      <c r="A837" s="101"/>
      <c r="B837" s="248"/>
      <c r="C837" s="249"/>
      <c r="D837" s="249"/>
      <c r="E837" s="249"/>
      <c r="F837" s="250"/>
    </row>
    <row r="838" spans="1:6" ht="19.5">
      <c r="A838" s="101"/>
      <c r="B838" s="248"/>
      <c r="C838" s="249"/>
      <c r="D838" s="249"/>
      <c r="E838" s="249"/>
      <c r="F838" s="250"/>
    </row>
    <row r="839" spans="1:6" ht="19.5">
      <c r="A839" s="101"/>
      <c r="B839" s="248"/>
      <c r="C839" s="249"/>
      <c r="D839" s="249"/>
      <c r="E839" s="249"/>
      <c r="F839" s="250"/>
    </row>
    <row r="840" spans="1:6" ht="19.5">
      <c r="A840" s="101"/>
      <c r="B840" s="248"/>
      <c r="C840" s="249"/>
      <c r="D840" s="249"/>
      <c r="E840" s="249"/>
      <c r="F840" s="250"/>
    </row>
    <row r="841" spans="1:6" ht="19.5">
      <c r="A841" s="101"/>
      <c r="B841" s="248"/>
      <c r="C841" s="249"/>
      <c r="D841" s="249"/>
      <c r="E841" s="249"/>
      <c r="F841" s="250"/>
    </row>
    <row r="842" spans="1:6" ht="19.5">
      <c r="A842" s="101"/>
      <c r="B842" s="248"/>
      <c r="C842" s="249"/>
      <c r="D842" s="249"/>
      <c r="E842" s="249"/>
      <c r="F842" s="250"/>
    </row>
    <row r="843" spans="1:6" ht="19.5">
      <c r="A843" s="101"/>
      <c r="B843" s="248"/>
      <c r="C843" s="249"/>
      <c r="D843" s="249"/>
      <c r="E843" s="249"/>
      <c r="F843" s="250"/>
    </row>
    <row r="844" spans="1:6" ht="19.5">
      <c r="A844" s="101"/>
      <c r="B844" s="248"/>
      <c r="C844" s="249"/>
      <c r="D844" s="249"/>
      <c r="E844" s="249"/>
      <c r="F844" s="250"/>
    </row>
    <row r="845" spans="1:6" ht="19.5">
      <c r="A845" s="101"/>
      <c r="B845" s="248"/>
      <c r="C845" s="249"/>
      <c r="D845" s="249"/>
      <c r="E845" s="249"/>
      <c r="F845" s="250"/>
    </row>
    <row r="846" spans="1:6" ht="19.5">
      <c r="A846" s="101"/>
      <c r="B846" s="248"/>
      <c r="C846" s="249"/>
      <c r="D846" s="249"/>
      <c r="E846" s="249"/>
      <c r="F846" s="250"/>
    </row>
    <row r="847" spans="1:6" ht="19.5">
      <c r="A847" s="101"/>
      <c r="B847" s="248"/>
      <c r="C847" s="249"/>
      <c r="D847" s="249"/>
      <c r="E847" s="249"/>
      <c r="F847" s="250"/>
    </row>
    <row r="848" spans="1:6" ht="19.5">
      <c r="A848" s="101"/>
      <c r="B848" s="248"/>
      <c r="C848" s="249"/>
      <c r="D848" s="249"/>
      <c r="E848" s="249"/>
      <c r="F848" s="250"/>
    </row>
    <row r="849" spans="1:6" ht="19.5">
      <c r="A849" s="101"/>
      <c r="B849" s="248"/>
      <c r="C849" s="249"/>
      <c r="D849" s="249"/>
      <c r="E849" s="249"/>
      <c r="F849" s="250"/>
    </row>
    <row r="850" spans="1:6" ht="19.5">
      <c r="A850" s="101"/>
      <c r="B850" s="248"/>
      <c r="C850" s="249"/>
      <c r="D850" s="249"/>
      <c r="E850" s="249"/>
      <c r="F850" s="250"/>
    </row>
    <row r="851" spans="1:6" ht="19.5">
      <c r="A851" s="101"/>
      <c r="B851" s="248"/>
      <c r="C851" s="249"/>
      <c r="D851" s="249"/>
      <c r="E851" s="249"/>
      <c r="F851" s="250"/>
    </row>
    <row r="852" spans="1:6" ht="19.5">
      <c r="A852" s="101"/>
      <c r="B852" s="248"/>
      <c r="C852" s="249"/>
      <c r="D852" s="249"/>
      <c r="E852" s="249"/>
      <c r="F852" s="250"/>
    </row>
    <row r="853" spans="1:6" ht="19.5">
      <c r="A853" s="101"/>
      <c r="B853" s="248"/>
      <c r="C853" s="249"/>
      <c r="D853" s="249"/>
      <c r="E853" s="249"/>
      <c r="F853" s="250"/>
    </row>
    <row r="854" spans="1:6" ht="19.5">
      <c r="A854" s="101"/>
      <c r="B854" s="248"/>
      <c r="C854" s="249"/>
      <c r="D854" s="249"/>
      <c r="E854" s="249"/>
      <c r="F854" s="250"/>
    </row>
    <row r="855" spans="1:6" ht="19.5">
      <c r="A855" s="101"/>
      <c r="B855" s="248"/>
      <c r="C855" s="249"/>
      <c r="D855" s="249"/>
      <c r="E855" s="249"/>
      <c r="F855" s="250"/>
    </row>
    <row r="856" spans="1:6" ht="19.5">
      <c r="A856" s="101"/>
      <c r="B856" s="248"/>
      <c r="C856" s="249"/>
      <c r="D856" s="249"/>
      <c r="E856" s="249"/>
      <c r="F856" s="250"/>
    </row>
    <row r="857" spans="1:6" ht="19.5">
      <c r="A857" s="101"/>
      <c r="B857" s="248"/>
      <c r="C857" s="249"/>
      <c r="D857" s="249"/>
      <c r="E857" s="249"/>
      <c r="F857" s="250"/>
    </row>
    <row r="858" spans="1:6" ht="19.5">
      <c r="A858" s="101"/>
      <c r="B858" s="248"/>
      <c r="C858" s="249"/>
      <c r="D858" s="249"/>
      <c r="E858" s="249"/>
      <c r="F858" s="250"/>
    </row>
    <row r="859" spans="1:6" ht="19.5">
      <c r="A859" s="101"/>
      <c r="B859" s="248"/>
      <c r="C859" s="249"/>
      <c r="D859" s="249"/>
      <c r="E859" s="249"/>
      <c r="F859" s="250"/>
    </row>
    <row r="860" spans="1:6" ht="19.5">
      <c r="A860" s="101"/>
      <c r="B860" s="248"/>
      <c r="C860" s="249"/>
      <c r="D860" s="249"/>
      <c r="E860" s="249"/>
      <c r="F860" s="250"/>
    </row>
    <row r="861" spans="1:6" ht="19.5">
      <c r="A861" s="101"/>
      <c r="B861" s="248"/>
      <c r="C861" s="249"/>
      <c r="D861" s="249"/>
      <c r="E861" s="249"/>
      <c r="F861" s="250"/>
    </row>
    <row r="862" spans="1:6" ht="19.5">
      <c r="A862" s="101"/>
      <c r="B862" s="248"/>
      <c r="C862" s="249"/>
      <c r="D862" s="249"/>
      <c r="E862" s="249"/>
      <c r="F862" s="250"/>
    </row>
    <row r="863" spans="1:6" ht="19.5">
      <c r="A863" s="101"/>
      <c r="B863" s="248"/>
      <c r="C863" s="249"/>
      <c r="D863" s="249"/>
      <c r="E863" s="249"/>
      <c r="F863" s="250"/>
    </row>
    <row r="864" spans="1:6" ht="19.5">
      <c r="A864" s="101"/>
      <c r="B864" s="248"/>
      <c r="C864" s="249"/>
      <c r="D864" s="249"/>
      <c r="E864" s="249"/>
      <c r="F864" s="250"/>
    </row>
    <row r="865" spans="1:6" ht="19.5">
      <c r="A865" s="101"/>
      <c r="B865" s="248"/>
      <c r="C865" s="249"/>
      <c r="D865" s="249"/>
      <c r="E865" s="249"/>
      <c r="F865" s="250"/>
    </row>
    <row r="866" spans="1:6" ht="19.5">
      <c r="A866" s="101"/>
      <c r="B866" s="248"/>
      <c r="C866" s="249"/>
      <c r="D866" s="249"/>
      <c r="E866" s="249"/>
      <c r="F866" s="250"/>
    </row>
    <row r="867" spans="1:6" ht="19.5">
      <c r="A867" s="101"/>
      <c r="B867" s="248"/>
      <c r="C867" s="249"/>
      <c r="D867" s="249"/>
      <c r="E867" s="249"/>
      <c r="F867" s="250"/>
    </row>
    <row r="868" spans="1:6" ht="19.5">
      <c r="A868" s="101"/>
      <c r="B868" s="248"/>
      <c r="C868" s="249"/>
      <c r="D868" s="249"/>
      <c r="E868" s="249"/>
      <c r="F868" s="250"/>
    </row>
    <row r="869" spans="1:6" ht="19.5">
      <c r="A869" s="101"/>
      <c r="B869" s="248"/>
      <c r="C869" s="249"/>
      <c r="D869" s="249"/>
      <c r="E869" s="249"/>
      <c r="F869" s="250"/>
    </row>
    <row r="870" spans="1:6" ht="19.5">
      <c r="A870" s="101"/>
      <c r="B870" s="248"/>
      <c r="C870" s="249"/>
      <c r="D870" s="249"/>
      <c r="E870" s="249"/>
      <c r="F870" s="250"/>
    </row>
    <row r="871" spans="1:6" ht="19.5">
      <c r="A871" s="101"/>
      <c r="B871" s="248"/>
      <c r="C871" s="249"/>
      <c r="D871" s="249"/>
      <c r="E871" s="249"/>
      <c r="F871" s="250"/>
    </row>
    <row r="872" spans="1:6" ht="19.5">
      <c r="A872" s="101"/>
      <c r="B872" s="248"/>
      <c r="C872" s="249"/>
      <c r="D872" s="249"/>
      <c r="E872" s="249"/>
      <c r="F872" s="250"/>
    </row>
    <row r="873" spans="1:6" ht="19.5">
      <c r="A873" s="101"/>
      <c r="B873" s="248"/>
      <c r="C873" s="249"/>
      <c r="D873" s="249"/>
      <c r="E873" s="249"/>
      <c r="F873" s="250"/>
    </row>
    <row r="874" spans="1:6" ht="19.5">
      <c r="A874" s="101"/>
      <c r="B874" s="248"/>
      <c r="C874" s="249"/>
      <c r="D874" s="249"/>
      <c r="E874" s="249"/>
      <c r="F874" s="250"/>
    </row>
    <row r="875" spans="1:6" ht="19.5">
      <c r="A875" s="101"/>
      <c r="B875" s="248"/>
      <c r="C875" s="249"/>
      <c r="D875" s="249"/>
      <c r="E875" s="249"/>
      <c r="F875" s="250"/>
    </row>
    <row r="876" spans="1:6" ht="19.5">
      <c r="A876" s="101"/>
      <c r="B876" s="248"/>
      <c r="C876" s="249"/>
      <c r="D876" s="249"/>
      <c r="E876" s="249"/>
      <c r="F876" s="250"/>
    </row>
    <row r="877" spans="1:6" ht="19.5">
      <c r="A877" s="101"/>
      <c r="B877" s="248"/>
      <c r="C877" s="249"/>
      <c r="D877" s="249"/>
      <c r="E877" s="249"/>
      <c r="F877" s="250"/>
    </row>
    <row r="878" spans="1:6" ht="19.5">
      <c r="A878" s="101"/>
      <c r="B878" s="248"/>
      <c r="C878" s="249"/>
      <c r="D878" s="249"/>
      <c r="E878" s="249"/>
      <c r="F878" s="250"/>
    </row>
    <row r="879" spans="1:6" ht="19.5">
      <c r="A879" s="101"/>
      <c r="B879" s="248"/>
      <c r="C879" s="249"/>
      <c r="D879" s="249"/>
      <c r="E879" s="249"/>
      <c r="F879" s="250"/>
    </row>
    <row r="880" spans="1:6" ht="19.5">
      <c r="A880" s="101"/>
      <c r="B880" s="248"/>
      <c r="C880" s="249"/>
      <c r="D880" s="249"/>
      <c r="E880" s="249"/>
      <c r="F880" s="250"/>
    </row>
    <row r="881" spans="1:6" ht="19.5">
      <c r="A881" s="101"/>
      <c r="B881" s="248"/>
      <c r="C881" s="249"/>
      <c r="D881" s="249"/>
      <c r="E881" s="249"/>
      <c r="F881" s="250"/>
    </row>
    <row r="882" spans="1:6" ht="19.5">
      <c r="A882" s="101"/>
      <c r="B882" s="248"/>
      <c r="C882" s="249"/>
      <c r="D882" s="249"/>
      <c r="E882" s="249"/>
      <c r="F882" s="250"/>
    </row>
    <row r="883" spans="1:6" ht="19.5">
      <c r="A883" s="101"/>
      <c r="B883" s="248"/>
      <c r="C883" s="249"/>
      <c r="D883" s="249"/>
      <c r="E883" s="249"/>
      <c r="F883" s="250"/>
    </row>
    <row r="884" spans="1:6" ht="19.5">
      <c r="A884" s="101"/>
      <c r="B884" s="248"/>
      <c r="C884" s="249"/>
      <c r="D884" s="249"/>
      <c r="E884" s="249"/>
      <c r="F884" s="250"/>
    </row>
    <row r="885" spans="1:6" ht="19.5">
      <c r="A885" s="101"/>
      <c r="B885" s="248"/>
      <c r="C885" s="249"/>
      <c r="D885" s="249"/>
      <c r="E885" s="249"/>
      <c r="F885" s="250"/>
    </row>
    <row r="886" spans="1:6" ht="19.5">
      <c r="A886" s="101"/>
      <c r="B886" s="248"/>
      <c r="C886" s="249"/>
      <c r="D886" s="249"/>
      <c r="E886" s="249"/>
      <c r="F886" s="250"/>
    </row>
    <row r="887" spans="1:6" ht="19.5">
      <c r="A887" s="101"/>
      <c r="B887" s="248"/>
      <c r="C887" s="249"/>
      <c r="D887" s="249"/>
      <c r="E887" s="249"/>
      <c r="F887" s="250"/>
    </row>
    <row r="888" spans="1:6" ht="19.5">
      <c r="A888" s="101"/>
      <c r="B888" s="248"/>
      <c r="C888" s="249"/>
      <c r="D888" s="249"/>
      <c r="E888" s="249"/>
      <c r="F888" s="250"/>
    </row>
    <row r="889" spans="1:6" ht="19.5">
      <c r="A889" s="101"/>
      <c r="B889" s="248"/>
      <c r="C889" s="249"/>
      <c r="D889" s="249"/>
      <c r="E889" s="249"/>
      <c r="F889" s="250"/>
    </row>
    <row r="890" spans="1:6" ht="19.5">
      <c r="A890" s="101"/>
      <c r="B890" s="248"/>
      <c r="C890" s="249"/>
      <c r="D890" s="249"/>
      <c r="E890" s="249"/>
      <c r="F890" s="250"/>
    </row>
    <row r="891" spans="1:6" ht="19.5">
      <c r="A891" s="101"/>
      <c r="B891" s="248"/>
      <c r="C891" s="249"/>
      <c r="D891" s="249"/>
      <c r="E891" s="249"/>
      <c r="F891" s="250"/>
    </row>
    <row r="892" spans="1:6" ht="19.5">
      <c r="A892" s="101"/>
      <c r="B892" s="248"/>
      <c r="C892" s="249"/>
      <c r="D892" s="249"/>
      <c r="E892" s="249"/>
      <c r="F892" s="250"/>
    </row>
    <row r="893" spans="1:6" ht="19.5">
      <c r="A893" s="101"/>
      <c r="B893" s="248"/>
      <c r="C893" s="249"/>
      <c r="D893" s="249"/>
      <c r="E893" s="249"/>
      <c r="F893" s="250"/>
    </row>
    <row r="894" spans="1:6" ht="19.5">
      <c r="A894" s="101"/>
      <c r="B894" s="248"/>
      <c r="C894" s="249"/>
      <c r="D894" s="249"/>
      <c r="E894" s="249"/>
      <c r="F894" s="250"/>
    </row>
    <row r="895" spans="1:6" ht="19.5">
      <c r="A895" s="101"/>
      <c r="B895" s="248"/>
      <c r="C895" s="249"/>
      <c r="D895" s="249"/>
      <c r="E895" s="249"/>
      <c r="F895" s="250"/>
    </row>
    <row r="896" spans="1:6" ht="19.5">
      <c r="A896" s="101"/>
      <c r="B896" s="248"/>
      <c r="C896" s="249"/>
      <c r="D896" s="249"/>
      <c r="E896" s="249"/>
      <c r="F896" s="250"/>
    </row>
    <row r="897" spans="1:6" ht="19.5">
      <c r="A897" s="101"/>
      <c r="B897" s="248"/>
      <c r="C897" s="249"/>
      <c r="D897" s="249"/>
      <c r="E897" s="249"/>
      <c r="F897" s="250"/>
    </row>
    <row r="898" spans="1:6" ht="19.5">
      <c r="A898" s="101"/>
      <c r="B898" s="248"/>
      <c r="C898" s="249"/>
      <c r="D898" s="249"/>
      <c r="E898" s="249"/>
      <c r="F898" s="250"/>
    </row>
    <row r="899" spans="1:6" ht="19.5">
      <c r="A899" s="101"/>
      <c r="B899" s="248"/>
      <c r="C899" s="249"/>
      <c r="D899" s="249"/>
      <c r="E899" s="249"/>
      <c r="F899" s="250"/>
    </row>
    <row r="900" spans="1:6" ht="19.5">
      <c r="A900" s="101"/>
      <c r="B900" s="248"/>
      <c r="C900" s="249"/>
      <c r="D900" s="249"/>
      <c r="E900" s="249"/>
      <c r="F900" s="250"/>
    </row>
    <row r="901" spans="1:6" ht="19.5">
      <c r="A901" s="101"/>
      <c r="B901" s="248"/>
      <c r="C901" s="249"/>
      <c r="D901" s="249"/>
      <c r="E901" s="249"/>
      <c r="F901" s="250"/>
    </row>
    <row r="902" spans="1:6" ht="19.5">
      <c r="A902" s="101"/>
      <c r="B902" s="248"/>
      <c r="C902" s="249"/>
      <c r="D902" s="249"/>
      <c r="E902" s="249"/>
      <c r="F902" s="250"/>
    </row>
    <row r="903" spans="1:6" ht="19.5">
      <c r="A903" s="101"/>
      <c r="B903" s="248"/>
      <c r="C903" s="249"/>
      <c r="D903" s="249"/>
      <c r="E903" s="249"/>
      <c r="F903" s="250"/>
    </row>
    <row r="904" spans="1:6" ht="19.5">
      <c r="A904" s="101"/>
      <c r="B904" s="248"/>
      <c r="C904" s="249"/>
      <c r="D904" s="249"/>
      <c r="E904" s="249"/>
      <c r="F904" s="250"/>
    </row>
    <row r="905" spans="1:6" ht="19.5">
      <c r="A905" s="101"/>
      <c r="B905" s="248"/>
      <c r="C905" s="249"/>
      <c r="D905" s="249"/>
      <c r="E905" s="249"/>
      <c r="F905" s="250"/>
    </row>
    <row r="906" spans="1:6" ht="19.5">
      <c r="A906" s="101"/>
      <c r="B906" s="248"/>
      <c r="C906" s="249"/>
      <c r="D906" s="249"/>
      <c r="E906" s="249"/>
      <c r="F906" s="250"/>
    </row>
    <row r="907" spans="1:6" ht="19.5">
      <c r="A907" s="101"/>
      <c r="B907" s="248"/>
      <c r="C907" s="249"/>
      <c r="D907" s="249"/>
      <c r="E907" s="249"/>
      <c r="F907" s="250"/>
    </row>
    <row r="908" spans="1:6" ht="19.5">
      <c r="A908" s="101"/>
      <c r="B908" s="248"/>
      <c r="C908" s="249"/>
      <c r="D908" s="249"/>
      <c r="E908" s="249"/>
      <c r="F908" s="250"/>
    </row>
    <row r="909" spans="1:6" ht="19.5">
      <c r="A909" s="101"/>
      <c r="B909" s="248"/>
      <c r="C909" s="249"/>
      <c r="D909" s="249"/>
      <c r="E909" s="249"/>
      <c r="F909" s="250"/>
    </row>
    <row r="910" spans="1:6" ht="19.5">
      <c r="A910" s="101"/>
      <c r="B910" s="248"/>
      <c r="C910" s="249"/>
      <c r="D910" s="249"/>
      <c r="E910" s="249"/>
      <c r="F910" s="250"/>
    </row>
    <row r="911" spans="1:6" ht="19.5">
      <c r="A911" s="101"/>
      <c r="B911" s="248"/>
      <c r="C911" s="249"/>
      <c r="D911" s="249"/>
      <c r="E911" s="249"/>
      <c r="F911" s="250"/>
    </row>
    <row r="912" spans="1:6" ht="19.5">
      <c r="A912" s="101"/>
      <c r="B912" s="248"/>
      <c r="C912" s="249"/>
      <c r="D912" s="249"/>
      <c r="E912" s="249"/>
      <c r="F912" s="250"/>
    </row>
    <row r="913" spans="1:6" ht="19.5">
      <c r="A913" s="101"/>
      <c r="B913" s="248"/>
      <c r="C913" s="249"/>
      <c r="D913" s="249"/>
      <c r="E913" s="249"/>
      <c r="F913" s="250"/>
    </row>
    <row r="914" spans="1:6" ht="19.5">
      <c r="A914" s="101"/>
      <c r="B914" s="248"/>
      <c r="C914" s="249"/>
      <c r="D914" s="249"/>
      <c r="E914" s="249"/>
      <c r="F914" s="250"/>
    </row>
    <row r="915" spans="1:6" ht="19.5">
      <c r="A915" s="101"/>
      <c r="B915" s="248"/>
      <c r="C915" s="249"/>
      <c r="D915" s="249"/>
      <c r="E915" s="249"/>
      <c r="F915" s="250"/>
    </row>
    <row r="916" spans="1:6" ht="19.5">
      <c r="A916" s="101"/>
      <c r="B916" s="248"/>
      <c r="C916" s="249"/>
      <c r="D916" s="249"/>
      <c r="E916" s="249"/>
      <c r="F916" s="250"/>
    </row>
    <row r="917" spans="1:6" ht="19.5">
      <c r="A917" s="101"/>
      <c r="B917" s="248"/>
      <c r="C917" s="249"/>
      <c r="D917" s="249"/>
      <c r="E917" s="249"/>
      <c r="F917" s="250"/>
    </row>
    <row r="918" spans="1:6" ht="19.5">
      <c r="A918" s="101"/>
      <c r="B918" s="248"/>
      <c r="C918" s="249"/>
      <c r="D918" s="249"/>
      <c r="E918" s="249"/>
      <c r="F918" s="250"/>
    </row>
    <row r="919" spans="1:6" ht="19.5">
      <c r="A919" s="101"/>
      <c r="B919" s="248"/>
      <c r="C919" s="249"/>
      <c r="D919" s="249"/>
      <c r="E919" s="249"/>
      <c r="F919" s="250"/>
    </row>
    <row r="920" spans="1:6" ht="19.5">
      <c r="A920" s="101"/>
      <c r="B920" s="248"/>
      <c r="C920" s="249"/>
      <c r="D920" s="249"/>
      <c r="E920" s="249"/>
      <c r="F920" s="250"/>
    </row>
    <row r="921" spans="1:6" ht="19.5">
      <c r="A921" s="101"/>
      <c r="B921" s="248"/>
      <c r="C921" s="249"/>
      <c r="D921" s="249"/>
      <c r="E921" s="249"/>
      <c r="F921" s="250"/>
    </row>
    <row r="922" spans="1:6" ht="19.5">
      <c r="A922" s="101"/>
      <c r="B922" s="248"/>
      <c r="C922" s="249"/>
      <c r="D922" s="249"/>
      <c r="E922" s="249"/>
      <c r="F922" s="250"/>
    </row>
    <row r="923" spans="1:6" ht="19.5">
      <c r="A923" s="101"/>
      <c r="B923" s="248"/>
      <c r="C923" s="249"/>
      <c r="D923" s="249"/>
      <c r="E923" s="249"/>
      <c r="F923" s="250"/>
    </row>
    <row r="924" spans="1:6" ht="19.5">
      <c r="A924" s="101"/>
      <c r="B924" s="248"/>
      <c r="C924" s="249"/>
      <c r="D924" s="249"/>
      <c r="E924" s="249"/>
      <c r="F924" s="250"/>
    </row>
    <row r="925" spans="1:6" ht="19.5">
      <c r="A925" s="101"/>
      <c r="B925" s="248"/>
      <c r="C925" s="249"/>
      <c r="D925" s="249"/>
      <c r="E925" s="249"/>
      <c r="F925" s="250"/>
    </row>
    <row r="926" spans="1:6" ht="19.5">
      <c r="A926" s="101"/>
      <c r="B926" s="248"/>
      <c r="C926" s="249"/>
      <c r="D926" s="249"/>
      <c r="E926" s="249"/>
      <c r="F926" s="250"/>
    </row>
    <row r="927" spans="1:6" ht="19.5">
      <c r="A927" s="101"/>
      <c r="B927" s="248"/>
      <c r="C927" s="249"/>
      <c r="D927" s="249"/>
      <c r="E927" s="249"/>
      <c r="F927" s="250"/>
    </row>
    <row r="928" spans="1:6" ht="19.5">
      <c r="A928" s="101"/>
      <c r="B928" s="248"/>
      <c r="C928" s="249"/>
      <c r="D928" s="249"/>
      <c r="E928" s="249"/>
      <c r="F928" s="250"/>
    </row>
    <row r="929" spans="1:6" ht="19.5">
      <c r="A929" s="101"/>
      <c r="B929" s="248"/>
      <c r="C929" s="249"/>
      <c r="D929" s="249"/>
      <c r="E929" s="249"/>
      <c r="F929" s="250"/>
    </row>
    <row r="930" spans="1:6" ht="19.5">
      <c r="A930" s="101"/>
      <c r="B930" s="248"/>
      <c r="C930" s="249"/>
      <c r="D930" s="249"/>
      <c r="E930" s="249"/>
      <c r="F930" s="250"/>
    </row>
    <row r="931" spans="1:6" ht="19.5">
      <c r="A931" s="101"/>
      <c r="B931" s="248"/>
      <c r="C931" s="249"/>
      <c r="D931" s="249"/>
      <c r="E931" s="249"/>
      <c r="F931" s="250"/>
    </row>
    <row r="932" spans="1:6" ht="19.5">
      <c r="A932" s="101"/>
      <c r="B932" s="248"/>
      <c r="C932" s="249"/>
      <c r="D932" s="249"/>
      <c r="E932" s="249"/>
      <c r="F932" s="250"/>
    </row>
    <row r="933" spans="1:6" ht="19.5">
      <c r="A933" s="101"/>
      <c r="B933" s="248"/>
      <c r="C933" s="249"/>
      <c r="D933" s="249"/>
      <c r="E933" s="249"/>
      <c r="F933" s="250"/>
    </row>
    <row r="934" spans="1:6" ht="19.5">
      <c r="A934" s="101"/>
      <c r="B934" s="248"/>
      <c r="C934" s="249"/>
      <c r="D934" s="249"/>
      <c r="E934" s="249"/>
      <c r="F934" s="250"/>
    </row>
    <row r="935" spans="1:6" ht="19.5">
      <c r="A935" s="101"/>
      <c r="B935" s="248"/>
      <c r="C935" s="249"/>
      <c r="D935" s="249"/>
      <c r="E935" s="249"/>
      <c r="F935" s="250"/>
    </row>
    <row r="936" spans="1:6" ht="19.5">
      <c r="A936" s="101"/>
      <c r="B936" s="248"/>
      <c r="C936" s="249"/>
      <c r="D936" s="249"/>
      <c r="E936" s="249"/>
      <c r="F936" s="250"/>
    </row>
    <row r="937" spans="1:6" ht="19.5">
      <c r="A937" s="101"/>
      <c r="B937" s="248"/>
      <c r="C937" s="249"/>
      <c r="D937" s="249"/>
      <c r="E937" s="249"/>
      <c r="F937" s="250"/>
    </row>
    <row r="938" spans="1:6" ht="19.5">
      <c r="A938" s="101"/>
      <c r="B938" s="248"/>
      <c r="C938" s="249"/>
      <c r="D938" s="249"/>
      <c r="E938" s="249"/>
      <c r="F938" s="250"/>
    </row>
    <row r="939" spans="1:6" ht="19.5">
      <c r="A939" s="101"/>
      <c r="B939" s="248"/>
      <c r="C939" s="249"/>
      <c r="D939" s="249"/>
      <c r="E939" s="249"/>
      <c r="F939" s="250"/>
    </row>
    <row r="940" spans="1:6" ht="19.5">
      <c r="A940" s="101"/>
      <c r="B940" s="248"/>
      <c r="C940" s="249"/>
      <c r="D940" s="249"/>
      <c r="E940" s="249"/>
      <c r="F940" s="250"/>
    </row>
    <row r="941" spans="1:6" ht="19.5">
      <c r="A941" s="101"/>
      <c r="B941" s="248"/>
      <c r="C941" s="249"/>
      <c r="D941" s="249"/>
      <c r="E941" s="249"/>
      <c r="F941" s="250"/>
    </row>
    <row r="942" spans="1:6" ht="19.5">
      <c r="A942" s="101"/>
      <c r="B942" s="248"/>
      <c r="C942" s="249"/>
      <c r="D942" s="249"/>
      <c r="E942" s="249"/>
      <c r="F942" s="250"/>
    </row>
    <row r="943" spans="1:6" ht="19.5">
      <c r="A943" s="101"/>
      <c r="B943" s="248"/>
      <c r="C943" s="249"/>
      <c r="D943" s="249"/>
      <c r="E943" s="249"/>
      <c r="F943" s="250"/>
    </row>
    <row r="944" spans="1:6" ht="19.5">
      <c r="A944" s="101"/>
      <c r="B944" s="248"/>
      <c r="C944" s="249"/>
      <c r="D944" s="249"/>
      <c r="E944" s="249"/>
      <c r="F944" s="250"/>
    </row>
    <row r="945" spans="1:6" ht="19.5">
      <c r="A945" s="101"/>
      <c r="B945" s="248"/>
      <c r="C945" s="249"/>
      <c r="D945" s="249"/>
      <c r="E945" s="249"/>
      <c r="F945" s="250"/>
    </row>
    <row r="946" spans="1:6" ht="19.5">
      <c r="A946" s="101"/>
      <c r="B946" s="248"/>
      <c r="C946" s="249"/>
      <c r="D946" s="249"/>
      <c r="E946" s="249"/>
      <c r="F946" s="250"/>
    </row>
    <row r="947" spans="1:6" ht="19.5">
      <c r="A947" s="101"/>
      <c r="B947" s="248"/>
      <c r="C947" s="249"/>
      <c r="D947" s="249"/>
      <c r="E947" s="249"/>
      <c r="F947" s="250"/>
    </row>
    <row r="948" spans="1:6" ht="19.5">
      <c r="A948" s="101"/>
      <c r="B948" s="248"/>
      <c r="C948" s="249"/>
      <c r="D948" s="249"/>
      <c r="E948" s="249"/>
      <c r="F948" s="250"/>
    </row>
    <row r="949" spans="1:6" ht="19.5">
      <c r="A949" s="101"/>
      <c r="B949" s="248"/>
      <c r="C949" s="249"/>
      <c r="D949" s="249"/>
      <c r="E949" s="249"/>
      <c r="F949" s="250"/>
    </row>
    <row r="950" spans="1:6" ht="19.5">
      <c r="A950" s="101"/>
      <c r="B950" s="248"/>
      <c r="C950" s="249"/>
      <c r="D950" s="249"/>
      <c r="E950" s="249"/>
      <c r="F950" s="250"/>
    </row>
    <row r="951" spans="1:6" ht="19.5">
      <c r="A951" s="101"/>
      <c r="B951" s="248"/>
      <c r="C951" s="249"/>
      <c r="D951" s="249"/>
      <c r="E951" s="249"/>
      <c r="F951" s="250"/>
    </row>
    <row r="952" spans="1:6" ht="19.5">
      <c r="A952" s="101"/>
      <c r="B952" s="248"/>
      <c r="C952" s="249"/>
      <c r="D952" s="249"/>
      <c r="E952" s="249"/>
      <c r="F952" s="250"/>
    </row>
    <row r="953" spans="1:6" ht="19.5">
      <c r="A953" s="101"/>
      <c r="B953" s="248"/>
      <c r="C953" s="249"/>
      <c r="D953" s="249"/>
      <c r="E953" s="249"/>
      <c r="F953" s="250"/>
    </row>
    <row r="954" spans="1:6" ht="19.5">
      <c r="A954" s="101"/>
      <c r="B954" s="248"/>
      <c r="C954" s="249"/>
      <c r="D954" s="249"/>
      <c r="E954" s="249"/>
      <c r="F954" s="250"/>
    </row>
    <row r="955" spans="1:6" ht="19.5">
      <c r="A955" s="101"/>
      <c r="B955" s="248"/>
      <c r="C955" s="249"/>
      <c r="D955" s="249"/>
      <c r="E955" s="249"/>
      <c r="F955" s="250"/>
    </row>
    <row r="956" spans="1:6" ht="19.5">
      <c r="A956" s="101"/>
      <c r="B956" s="248"/>
      <c r="C956" s="249"/>
      <c r="D956" s="249"/>
      <c r="E956" s="249"/>
      <c r="F956" s="250"/>
    </row>
    <row r="957" spans="1:6" ht="19.5">
      <c r="A957" s="101"/>
      <c r="B957" s="248"/>
      <c r="C957" s="249"/>
      <c r="D957" s="249"/>
      <c r="E957" s="249"/>
      <c r="F957" s="250"/>
    </row>
    <row r="958" spans="1:6" ht="19.5">
      <c r="A958" s="101"/>
      <c r="B958" s="248"/>
      <c r="C958" s="249"/>
      <c r="D958" s="249"/>
      <c r="E958" s="249"/>
      <c r="F958" s="250"/>
    </row>
    <row r="959" spans="1:6" ht="19.5">
      <c r="A959" s="101"/>
      <c r="B959" s="248"/>
      <c r="C959" s="249"/>
      <c r="D959" s="249"/>
      <c r="E959" s="249"/>
      <c r="F959" s="250"/>
    </row>
    <row r="960" spans="1:6" ht="19.5">
      <c r="A960" s="101"/>
      <c r="B960" s="248"/>
      <c r="C960" s="249"/>
      <c r="D960" s="249"/>
      <c r="E960" s="249"/>
      <c r="F960" s="250"/>
    </row>
    <row r="961" spans="1:6" ht="19.5">
      <c r="A961" s="101"/>
      <c r="B961" s="248"/>
      <c r="C961" s="249"/>
      <c r="D961" s="249"/>
      <c r="E961" s="249"/>
      <c r="F961" s="250"/>
    </row>
    <row r="962" spans="1:6" ht="19.5">
      <c r="A962" s="101"/>
      <c r="B962" s="248"/>
      <c r="C962" s="249"/>
      <c r="D962" s="249"/>
      <c r="E962" s="249"/>
      <c r="F962" s="250"/>
    </row>
    <row r="963" spans="1:6" ht="19.5">
      <c r="A963" s="101"/>
      <c r="B963" s="248"/>
      <c r="C963" s="249"/>
      <c r="D963" s="249"/>
      <c r="E963" s="249"/>
      <c r="F963" s="250"/>
    </row>
    <row r="964" spans="1:6" ht="19.5">
      <c r="A964" s="101"/>
      <c r="B964" s="248"/>
      <c r="C964" s="249"/>
      <c r="D964" s="249"/>
      <c r="E964" s="249"/>
      <c r="F964" s="250"/>
    </row>
    <row r="965" spans="1:6" ht="19.5">
      <c r="A965" s="101"/>
      <c r="B965" s="248"/>
      <c r="C965" s="249"/>
      <c r="D965" s="249"/>
      <c r="E965" s="249"/>
      <c r="F965" s="250"/>
    </row>
    <row r="966" spans="1:6" ht="19.5">
      <c r="A966" s="101"/>
      <c r="B966" s="248"/>
      <c r="C966" s="249"/>
      <c r="D966" s="249"/>
      <c r="E966" s="249"/>
      <c r="F966" s="250"/>
    </row>
    <row r="967" spans="1:6" ht="19.5">
      <c r="A967" s="101"/>
      <c r="B967" s="248"/>
      <c r="C967" s="249"/>
      <c r="D967" s="249"/>
      <c r="E967" s="249"/>
      <c r="F967" s="250"/>
    </row>
    <row r="968" spans="1:6" ht="19.5">
      <c r="A968" s="101"/>
      <c r="B968" s="248"/>
      <c r="C968" s="249"/>
      <c r="D968" s="249"/>
      <c r="E968" s="249"/>
      <c r="F968" s="250"/>
    </row>
    <row r="969" spans="1:6" ht="19.5">
      <c r="A969" s="101"/>
      <c r="B969" s="248"/>
      <c r="C969" s="249"/>
      <c r="D969" s="249"/>
      <c r="E969" s="249"/>
      <c r="F969" s="250"/>
    </row>
    <row r="970" spans="1:6" ht="19.5">
      <c r="A970" s="101"/>
      <c r="B970" s="248"/>
      <c r="C970" s="249"/>
      <c r="D970" s="249"/>
      <c r="E970" s="249"/>
      <c r="F970" s="250"/>
    </row>
    <row r="971" spans="1:6" ht="19.5">
      <c r="A971" s="101"/>
      <c r="B971" s="248"/>
      <c r="C971" s="249"/>
      <c r="D971" s="249"/>
      <c r="E971" s="249"/>
      <c r="F971" s="250"/>
    </row>
    <row r="972" spans="1:6" ht="19.5">
      <c r="A972" s="101"/>
      <c r="B972" s="248"/>
      <c r="C972" s="249"/>
      <c r="D972" s="249"/>
      <c r="E972" s="249"/>
      <c r="F972" s="250"/>
    </row>
    <row r="973" spans="1:6" ht="19.5">
      <c r="A973" s="101"/>
      <c r="B973" s="248"/>
      <c r="C973" s="249"/>
      <c r="D973" s="249"/>
      <c r="E973" s="249"/>
      <c r="F973" s="250"/>
    </row>
    <row r="974" spans="1:6" ht="19.5">
      <c r="A974" s="101"/>
      <c r="B974" s="248"/>
      <c r="C974" s="249"/>
      <c r="D974" s="249"/>
      <c r="E974" s="249"/>
      <c r="F974" s="250"/>
    </row>
    <row r="975" spans="1:6" ht="19.5">
      <c r="A975" s="101"/>
      <c r="B975" s="248"/>
      <c r="C975" s="249"/>
      <c r="D975" s="249"/>
      <c r="E975" s="249"/>
      <c r="F975" s="250"/>
    </row>
    <row r="976" spans="1:6" ht="19.5">
      <c r="A976" s="101"/>
      <c r="B976" s="248"/>
      <c r="C976" s="249"/>
      <c r="D976" s="249"/>
      <c r="E976" s="249"/>
      <c r="F976" s="250"/>
    </row>
    <row r="977" spans="1:6" ht="19.5">
      <c r="A977" s="101"/>
      <c r="B977" s="248"/>
      <c r="C977" s="249"/>
      <c r="D977" s="249"/>
      <c r="E977" s="249"/>
      <c r="F977" s="250"/>
    </row>
    <row r="978" spans="1:6" ht="19.5">
      <c r="A978" s="101"/>
      <c r="B978" s="248"/>
      <c r="C978" s="249"/>
      <c r="D978" s="249"/>
      <c r="E978" s="249"/>
      <c r="F978" s="250"/>
    </row>
    <row r="979" spans="1:6" ht="19.5">
      <c r="A979" s="101"/>
      <c r="B979" s="248"/>
      <c r="C979" s="249"/>
      <c r="D979" s="249"/>
      <c r="E979" s="249"/>
      <c r="F979" s="250"/>
    </row>
    <row r="980" spans="1:6" ht="19.5">
      <c r="A980" s="101"/>
      <c r="B980" s="248"/>
      <c r="C980" s="249"/>
      <c r="D980" s="249"/>
      <c r="E980" s="249"/>
      <c r="F980" s="250"/>
    </row>
    <row r="981" spans="1:6" ht="19.5">
      <c r="A981" s="101"/>
      <c r="B981" s="248"/>
      <c r="C981" s="249"/>
      <c r="D981" s="249"/>
      <c r="E981" s="249"/>
      <c r="F981" s="250"/>
    </row>
    <row r="982" spans="1:6" ht="19.5">
      <c r="A982" s="101"/>
      <c r="B982" s="248"/>
      <c r="C982" s="249"/>
      <c r="D982" s="249"/>
      <c r="E982" s="249"/>
      <c r="F982" s="250"/>
    </row>
    <row r="983" spans="1:6" ht="19.5">
      <c r="A983" s="101"/>
      <c r="B983" s="248"/>
      <c r="C983" s="249"/>
      <c r="D983" s="249"/>
      <c r="E983" s="249"/>
      <c r="F983" s="250"/>
    </row>
    <row r="984" spans="1:6" ht="19.5">
      <c r="A984" s="101"/>
      <c r="B984" s="248"/>
      <c r="C984" s="249"/>
      <c r="D984" s="249"/>
      <c r="E984" s="249"/>
      <c r="F984" s="250"/>
    </row>
    <row r="985" spans="1:6" ht="19.5">
      <c r="A985" s="101"/>
      <c r="B985" s="248"/>
      <c r="C985" s="249"/>
      <c r="D985" s="249"/>
      <c r="E985" s="249"/>
      <c r="F985" s="250"/>
    </row>
    <row r="986" spans="1:6" ht="19.5">
      <c r="A986" s="101"/>
      <c r="B986" s="248"/>
      <c r="C986" s="249"/>
      <c r="D986" s="249"/>
      <c r="E986" s="249"/>
      <c r="F986" s="250"/>
    </row>
    <row r="987" spans="1:6" ht="19.5">
      <c r="A987" s="101"/>
      <c r="B987" s="248"/>
      <c r="C987" s="249"/>
      <c r="D987" s="249"/>
      <c r="E987" s="249"/>
      <c r="F987" s="250"/>
    </row>
    <row r="988" spans="1:6" ht="19.5">
      <c r="A988" s="101"/>
      <c r="B988" s="248"/>
      <c r="C988" s="249"/>
      <c r="D988" s="249"/>
      <c r="E988" s="249"/>
      <c r="F988" s="250"/>
    </row>
    <row r="989" spans="1:6" ht="19.5">
      <c r="A989" s="101"/>
      <c r="B989" s="248"/>
      <c r="C989" s="249"/>
      <c r="D989" s="249"/>
      <c r="E989" s="249"/>
      <c r="F989" s="250"/>
    </row>
    <row r="990" spans="1:6" ht="19.5">
      <c r="A990" s="101"/>
      <c r="B990" s="248"/>
      <c r="C990" s="249"/>
      <c r="D990" s="249"/>
      <c r="E990" s="249"/>
      <c r="F990" s="250"/>
    </row>
    <row r="991" spans="1:6" ht="19.5">
      <c r="A991" s="101"/>
      <c r="B991" s="248"/>
      <c r="C991" s="249"/>
      <c r="D991" s="249"/>
      <c r="E991" s="249"/>
      <c r="F991" s="250"/>
    </row>
    <row r="992" spans="1:6" ht="19.5">
      <c r="A992" s="101"/>
      <c r="B992" s="248"/>
      <c r="C992" s="249"/>
      <c r="D992" s="249"/>
      <c r="E992" s="249"/>
      <c r="F992" s="250"/>
    </row>
    <row r="993" spans="1:6" ht="19.5">
      <c r="A993" s="101"/>
      <c r="B993" s="248"/>
      <c r="C993" s="249"/>
      <c r="D993" s="249"/>
      <c r="E993" s="249"/>
      <c r="F993" s="250"/>
    </row>
    <row r="994" spans="1:6" ht="19.5">
      <c r="A994" s="101"/>
      <c r="B994" s="248"/>
      <c r="C994" s="249"/>
      <c r="D994" s="249"/>
      <c r="E994" s="249"/>
      <c r="F994" s="250"/>
    </row>
    <row r="995" spans="1:6" ht="19.5">
      <c r="A995" s="101"/>
      <c r="B995" s="248"/>
      <c r="C995" s="249"/>
      <c r="D995" s="249"/>
      <c r="E995" s="249"/>
      <c r="F995" s="250"/>
    </row>
    <row r="996" spans="1:6" ht="19.5">
      <c r="A996" s="101"/>
      <c r="B996" s="248"/>
      <c r="C996" s="249"/>
      <c r="D996" s="249"/>
      <c r="E996" s="249"/>
      <c r="F996" s="250"/>
    </row>
    <row r="997" spans="1:6" ht="19.5">
      <c r="A997" s="101"/>
      <c r="B997" s="248"/>
      <c r="C997" s="249"/>
      <c r="D997" s="249"/>
      <c r="E997" s="249"/>
      <c r="F997" s="250"/>
    </row>
    <row r="998" spans="1:6" ht="19.5">
      <c r="A998" s="101"/>
      <c r="B998" s="248"/>
      <c r="C998" s="249"/>
      <c r="D998" s="249"/>
      <c r="E998" s="249"/>
      <c r="F998" s="250"/>
    </row>
    <row r="999" spans="1:6" ht="19.5">
      <c r="A999" s="101"/>
      <c r="B999" s="248"/>
      <c r="C999" s="249"/>
      <c r="D999" s="249"/>
      <c r="E999" s="249"/>
      <c r="F999" s="250"/>
    </row>
    <row r="1000" spans="1:6" ht="19.5">
      <c r="A1000" s="101"/>
      <c r="B1000" s="248"/>
      <c r="C1000" s="249"/>
      <c r="D1000" s="249"/>
      <c r="E1000" s="249"/>
      <c r="F1000" s="250"/>
    </row>
    <row r="1001" spans="1:6" ht="19.5">
      <c r="A1001" s="101"/>
      <c r="B1001" s="248"/>
      <c r="C1001" s="249"/>
      <c r="D1001" s="249"/>
      <c r="E1001" s="249"/>
      <c r="F1001" s="250"/>
    </row>
    <row r="1002" spans="1:6" ht="19.5">
      <c r="A1002" s="101"/>
      <c r="B1002" s="248"/>
      <c r="C1002" s="249"/>
      <c r="D1002" s="249"/>
      <c r="E1002" s="249"/>
      <c r="F1002" s="250"/>
    </row>
    <row r="1003" spans="1:6" ht="19.5">
      <c r="A1003" s="101"/>
      <c r="B1003" s="248"/>
      <c r="C1003" s="249"/>
      <c r="D1003" s="249"/>
      <c r="E1003" s="249"/>
      <c r="F1003" s="250"/>
    </row>
    <row r="1004" spans="1:6" ht="19.5">
      <c r="A1004" s="101"/>
      <c r="B1004" s="248"/>
      <c r="C1004" s="249"/>
      <c r="D1004" s="249"/>
      <c r="E1004" s="249"/>
      <c r="F1004" s="250"/>
    </row>
    <row r="1005" spans="1:6" ht="19.5">
      <c r="A1005" s="101"/>
      <c r="B1005" s="248"/>
      <c r="C1005" s="249"/>
      <c r="D1005" s="249"/>
      <c r="E1005" s="249"/>
      <c r="F1005" s="250"/>
    </row>
    <row r="1006" spans="1:6" ht="19.5">
      <c r="A1006" s="101"/>
      <c r="B1006" s="248"/>
      <c r="C1006" s="249"/>
      <c r="D1006" s="249"/>
      <c r="E1006" s="249"/>
      <c r="F1006" s="250"/>
    </row>
    <row r="1007" spans="1:6" ht="19.5">
      <c r="A1007" s="101"/>
      <c r="B1007" s="248"/>
      <c r="C1007" s="249"/>
      <c r="D1007" s="249"/>
      <c r="E1007" s="249"/>
      <c r="F1007" s="250"/>
    </row>
    <row r="1008" spans="1:6" ht="19.5">
      <c r="A1008" s="101"/>
      <c r="B1008" s="248"/>
      <c r="C1008" s="249"/>
      <c r="D1008" s="249"/>
      <c r="E1008" s="249"/>
      <c r="F1008" s="250"/>
    </row>
    <row r="1009" spans="1:6" ht="19.5">
      <c r="A1009" s="101"/>
      <c r="B1009" s="248"/>
      <c r="C1009" s="249"/>
      <c r="D1009" s="249"/>
      <c r="E1009" s="249"/>
      <c r="F1009" s="250"/>
    </row>
    <row r="1010" spans="1:6" ht="19.5">
      <c r="A1010" s="101"/>
      <c r="B1010" s="248"/>
      <c r="C1010" s="249"/>
      <c r="D1010" s="249"/>
      <c r="E1010" s="249"/>
      <c r="F1010" s="250"/>
    </row>
    <row r="1011" spans="1:6" ht="19.5">
      <c r="A1011" s="101"/>
      <c r="B1011" s="248"/>
      <c r="C1011" s="249"/>
      <c r="D1011" s="249"/>
      <c r="E1011" s="249"/>
      <c r="F1011" s="250"/>
    </row>
    <row r="1012" spans="1:6" ht="19.5">
      <c r="A1012" s="101"/>
      <c r="B1012" s="248"/>
      <c r="C1012" s="249"/>
      <c r="D1012" s="249"/>
      <c r="E1012" s="249"/>
      <c r="F1012" s="250"/>
    </row>
    <row r="1013" spans="1:6" ht="19.5">
      <c r="A1013" s="101"/>
      <c r="B1013" s="248"/>
      <c r="C1013" s="249"/>
      <c r="D1013" s="249"/>
      <c r="E1013" s="249"/>
      <c r="F1013" s="250"/>
    </row>
    <row r="1014" spans="1:6" ht="19.5">
      <c r="A1014" s="101"/>
      <c r="B1014" s="248"/>
      <c r="C1014" s="249"/>
      <c r="D1014" s="249"/>
      <c r="E1014" s="249"/>
      <c r="F1014" s="250"/>
    </row>
    <row r="1015" spans="1:6" ht="19.5">
      <c r="A1015" s="101"/>
      <c r="B1015" s="248"/>
      <c r="C1015" s="249"/>
      <c r="D1015" s="249"/>
      <c r="E1015" s="249"/>
      <c r="F1015" s="250"/>
    </row>
    <row r="1016" spans="1:6" ht="19.5">
      <c r="A1016" s="101"/>
      <c r="B1016" s="248"/>
      <c r="C1016" s="249"/>
      <c r="D1016" s="249"/>
      <c r="E1016" s="249"/>
      <c r="F1016" s="250"/>
    </row>
  </sheetData>
  <autoFilter ref="A1:K63" xr:uid="{00000000-0009-0000-0000-000006000000}"/>
  <mergeCells count="1">
    <mergeCell ref="D55:H55"/>
  </mergeCells>
  <conditionalFormatting sqref="D2:D35 B2:B63 A2:A1016 D37:D63">
    <cfRule type="containsText" dxfId="4" priority="1" operator="containsText" text="Completed">
      <formula>NOT(ISERROR(SEARCH(("Completed"),(A2))))</formula>
    </cfRule>
    <cfRule type="containsText" dxfId="3" priority="2" operator="containsText" text="Confirmed">
      <formula>NOT(ISERROR(SEARCH(("Confirmed"),(A2))))</formula>
    </cfRule>
    <cfRule type="containsText" dxfId="2" priority="3" operator="containsText" text="Pending">
      <formula>NOT(ISERROR(SEARCH(("Pending"),(A2))))</formula>
    </cfRule>
    <cfRule type="containsText" dxfId="1" priority="4" operator="containsText" text="Rescheduled">
      <formula>NOT(ISERROR(SEARCH(("Rescheduled"),(A2))))</formula>
    </cfRule>
    <cfRule type="containsText" dxfId="0" priority="5" operator="containsText" text="Canceled">
      <formula>NOT(ISERROR(SEARCH(("Canceled"),(A2))))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c6029682399a2723c603dceec7b1d942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7d672569b73afc4b98897befdaa0313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AzureFiles xmlns="801b4607-f500-4f6e-b784-fb54d22359e9">
      <Url xsi:nil="true"/>
      <Description xsi:nil="true"/>
    </AzureFiles>
    <Notes xmlns="801b4607-f500-4f6e-b784-fb54d22359e9" xsi:nil="true"/>
    <lcf76f155ced4ddcb4097134ff3c332f xmlns="801b4607-f500-4f6e-b784-fb54d22359e9">
      <Terms xmlns="http://schemas.microsoft.com/office/infopath/2007/PartnerControls"/>
    </lcf76f155ced4ddcb4097134ff3c332f>
    <Tag xmlns="801b4607-f500-4f6e-b784-fb54d22359e9" xsi:nil="true"/>
  </documentManagement>
</p:properties>
</file>

<file path=customXml/itemProps1.xml><?xml version="1.0" encoding="utf-8"?>
<ds:datastoreItem xmlns:ds="http://schemas.openxmlformats.org/officeDocument/2006/customXml" ds:itemID="{7F964C3C-45F2-4BE3-8DAF-C811C997C6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DF8E50-2ADA-4680-8141-555A423EA2B0}"/>
</file>

<file path=customXml/itemProps3.xml><?xml version="1.0" encoding="utf-8"?>
<ds:datastoreItem xmlns:ds="http://schemas.openxmlformats.org/officeDocument/2006/customXml" ds:itemID="{C086C500-39B2-42E6-A5E2-998D055170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Account List</vt:lpstr>
      <vt:lpstr>Emily Schedule</vt:lpstr>
      <vt:lpstr>Kaitlyn Schedule</vt:lpstr>
      <vt:lpstr>FULL SCHEDULE_BY PS</vt:lpstr>
      <vt:lpstr>Schedule</vt:lpstr>
      <vt:lpstr>Schedule_ALL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Bustos, Luis (WW-MOM)</cp:lastModifiedBy>
  <dcterms:modified xsi:type="dcterms:W3CDTF">2024-04-29T15:21:30Z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</Properties>
</file>